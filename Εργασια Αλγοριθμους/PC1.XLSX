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NI\LAB\4 Fourth Semester\Algorithms\project\"/>
    </mc:Choice>
  </mc:AlternateContent>
  <xr:revisionPtr revIDLastSave="0" documentId="13_ncr:1_{E799AA3D-1E24-4AC3-B159-3BB9C1255830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out_final" sheetId="2" r:id="rId1"/>
    <sheet name="Φύλλο1" sheetId="1" r:id="rId2"/>
  </sheets>
  <definedNames>
    <definedName name="ExternalData_1" localSheetId="0" hidden="1">out_final!$A$1:$D$1544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322" i="2" l="1"/>
  <c r="Q8" i="2" s="1"/>
  <c r="W9" i="2"/>
  <c r="W8" i="2"/>
  <c r="W7" i="2"/>
  <c r="W6" i="2"/>
  <c r="W5" i="2"/>
  <c r="W4" i="2"/>
  <c r="W3" i="2"/>
  <c r="V9" i="2"/>
  <c r="V8" i="2"/>
  <c r="V10" i="2" s="1"/>
  <c r="V7" i="2"/>
  <c r="V6" i="2"/>
  <c r="V5" i="2"/>
  <c r="V4" i="2"/>
  <c r="V3" i="2"/>
  <c r="U9" i="2"/>
  <c r="U8" i="2"/>
  <c r="U7" i="2"/>
  <c r="U6" i="2"/>
  <c r="U5" i="2"/>
  <c r="U4" i="2"/>
  <c r="U3" i="2"/>
  <c r="T3" i="2"/>
  <c r="T9" i="2"/>
  <c r="T8" i="2"/>
  <c r="T7" i="2"/>
  <c r="T6" i="2"/>
  <c r="T5" i="2"/>
  <c r="T4" i="2"/>
  <c r="Q9" i="2"/>
  <c r="Q7" i="2"/>
  <c r="Q6" i="2"/>
  <c r="Q5" i="2"/>
  <c r="Q4" i="2"/>
  <c r="Q3" i="2"/>
  <c r="P9" i="2"/>
  <c r="P8" i="2"/>
  <c r="P7" i="2"/>
  <c r="P6" i="2"/>
  <c r="P10" i="2" s="1"/>
  <c r="P5" i="2"/>
  <c r="P4" i="2"/>
  <c r="P3" i="2"/>
  <c r="O9" i="2"/>
  <c r="O8" i="2"/>
  <c r="O7" i="2"/>
  <c r="O6" i="2"/>
  <c r="O5" i="2"/>
  <c r="O4" i="2"/>
  <c r="O3" i="2"/>
  <c r="N9" i="2"/>
  <c r="N8" i="2"/>
  <c r="N7" i="2"/>
  <c r="N6" i="2"/>
  <c r="N5" i="2"/>
  <c r="U10" i="2"/>
  <c r="T10" i="2"/>
  <c r="B61" i="2"/>
  <c r="N4" i="2"/>
  <c r="N3" i="2"/>
  <c r="H3" i="2"/>
  <c r="O10" i="2"/>
  <c r="K10" i="2"/>
  <c r="J10" i="2"/>
  <c r="I10" i="2"/>
  <c r="H10" i="2"/>
  <c r="K9" i="2"/>
  <c r="J9" i="2"/>
  <c r="I9" i="2"/>
  <c r="H9" i="2"/>
  <c r="K8" i="2"/>
  <c r="J8" i="2"/>
  <c r="I8" i="2"/>
  <c r="H8" i="2"/>
  <c r="K7" i="2"/>
  <c r="J7" i="2"/>
  <c r="I7" i="2"/>
  <c r="K6" i="2"/>
  <c r="J6" i="2"/>
  <c r="I6" i="2"/>
  <c r="H6" i="2"/>
  <c r="K5" i="2"/>
  <c r="J5" i="2"/>
  <c r="I5" i="2"/>
  <c r="H4" i="2"/>
  <c r="I4" i="2"/>
  <c r="H5" i="2"/>
  <c r="H7" i="2"/>
  <c r="K4" i="2"/>
  <c r="J4" i="2"/>
  <c r="D722" i="2"/>
  <c r="C722" i="2"/>
  <c r="B722" i="2"/>
  <c r="D721" i="2"/>
  <c r="C721" i="2"/>
  <c r="B721" i="2"/>
  <c r="D720" i="2"/>
  <c r="C720" i="2"/>
  <c r="B720" i="2"/>
  <c r="K3" i="2"/>
  <c r="J3" i="2"/>
  <c r="I3" i="2"/>
  <c r="D1544" i="2"/>
  <c r="C1544" i="2"/>
  <c r="B1544" i="2"/>
  <c r="D1543" i="2"/>
  <c r="C1543" i="2"/>
  <c r="B1543" i="2"/>
  <c r="D1542" i="2"/>
  <c r="C1542" i="2"/>
  <c r="B1542" i="2"/>
  <c r="D1490" i="2"/>
  <c r="C1490" i="2"/>
  <c r="B1490" i="2"/>
  <c r="D1489" i="2"/>
  <c r="C1489" i="2"/>
  <c r="B1489" i="2"/>
  <c r="D1488" i="2"/>
  <c r="C1488" i="2"/>
  <c r="B1488" i="2"/>
  <c r="D1436" i="2"/>
  <c r="C1436" i="2"/>
  <c r="B1436" i="2"/>
  <c r="D1435" i="2"/>
  <c r="C1435" i="2"/>
  <c r="B1435" i="2"/>
  <c r="D1434" i="2"/>
  <c r="C1434" i="2"/>
  <c r="B1434" i="2"/>
  <c r="D1382" i="2"/>
  <c r="C1382" i="2"/>
  <c r="B1382" i="2"/>
  <c r="D1381" i="2"/>
  <c r="C1381" i="2"/>
  <c r="B1381" i="2"/>
  <c r="D1380" i="2"/>
  <c r="C1380" i="2"/>
  <c r="B1380" i="2"/>
  <c r="D1324" i="2"/>
  <c r="C1324" i="2"/>
  <c r="B1324" i="2"/>
  <c r="D1323" i="2"/>
  <c r="C1323" i="2"/>
  <c r="B1323" i="2"/>
  <c r="D1322" i="2"/>
  <c r="B1322" i="2"/>
  <c r="D1270" i="2"/>
  <c r="C1270" i="2"/>
  <c r="B1270" i="2"/>
  <c r="D1269" i="2"/>
  <c r="C1269" i="2"/>
  <c r="B1269" i="2"/>
  <c r="D1268" i="2"/>
  <c r="C1268" i="2"/>
  <c r="B1268" i="2"/>
  <c r="D1216" i="2"/>
  <c r="C1216" i="2"/>
  <c r="B1216" i="2"/>
  <c r="D1215" i="2"/>
  <c r="C1215" i="2"/>
  <c r="B1215" i="2"/>
  <c r="D1214" i="2"/>
  <c r="C1214" i="2"/>
  <c r="B1214" i="2"/>
  <c r="D1162" i="2"/>
  <c r="C1162" i="2"/>
  <c r="B1162" i="2"/>
  <c r="D1161" i="2"/>
  <c r="C1161" i="2"/>
  <c r="B1161" i="2"/>
  <c r="D1160" i="2"/>
  <c r="C1160" i="2"/>
  <c r="B1160" i="2"/>
  <c r="D1104" i="2"/>
  <c r="C1104" i="2"/>
  <c r="B1104" i="2"/>
  <c r="D1103" i="2"/>
  <c r="C1103" i="2"/>
  <c r="B1103" i="2"/>
  <c r="D1102" i="2"/>
  <c r="C1102" i="2"/>
  <c r="B1102" i="2"/>
  <c r="D1050" i="2"/>
  <c r="C1050" i="2"/>
  <c r="B1050" i="2"/>
  <c r="D1049" i="2"/>
  <c r="C1049" i="2"/>
  <c r="B1049" i="2"/>
  <c r="D1048" i="2"/>
  <c r="C1048" i="2"/>
  <c r="B1048" i="2"/>
  <c r="D996" i="2"/>
  <c r="C996" i="2"/>
  <c r="B996" i="2"/>
  <c r="D995" i="2"/>
  <c r="C995" i="2"/>
  <c r="B995" i="2"/>
  <c r="D994" i="2"/>
  <c r="C994" i="2"/>
  <c r="B994" i="2"/>
  <c r="D942" i="2"/>
  <c r="C942" i="2"/>
  <c r="B942" i="2"/>
  <c r="D941" i="2"/>
  <c r="C941" i="2"/>
  <c r="B941" i="2"/>
  <c r="D940" i="2"/>
  <c r="C940" i="2"/>
  <c r="B940" i="2"/>
  <c r="D884" i="2"/>
  <c r="C884" i="2"/>
  <c r="B884" i="2"/>
  <c r="D883" i="2"/>
  <c r="C883" i="2"/>
  <c r="B883" i="2"/>
  <c r="D882" i="2"/>
  <c r="C882" i="2"/>
  <c r="B882" i="2"/>
  <c r="D830" i="2"/>
  <c r="C830" i="2"/>
  <c r="B830" i="2"/>
  <c r="D829" i="2"/>
  <c r="C829" i="2"/>
  <c r="B829" i="2"/>
  <c r="D828" i="2"/>
  <c r="C828" i="2"/>
  <c r="B828" i="2"/>
  <c r="D776" i="2"/>
  <c r="C776" i="2"/>
  <c r="B776" i="2"/>
  <c r="D775" i="2"/>
  <c r="C775" i="2"/>
  <c r="B775" i="2"/>
  <c r="D774" i="2"/>
  <c r="C774" i="2"/>
  <c r="B774" i="2"/>
  <c r="D664" i="2"/>
  <c r="C664" i="2"/>
  <c r="B664" i="2"/>
  <c r="D663" i="2"/>
  <c r="C663" i="2"/>
  <c r="B663" i="2"/>
  <c r="D662" i="2"/>
  <c r="C662" i="2"/>
  <c r="B662" i="2"/>
  <c r="D610" i="2"/>
  <c r="C610" i="2"/>
  <c r="B610" i="2"/>
  <c r="D609" i="2"/>
  <c r="C609" i="2"/>
  <c r="B609" i="2"/>
  <c r="D608" i="2"/>
  <c r="C608" i="2"/>
  <c r="B608" i="2"/>
  <c r="D556" i="2"/>
  <c r="C556" i="2"/>
  <c r="B556" i="2"/>
  <c r="D555" i="2"/>
  <c r="C555" i="2"/>
  <c r="B555" i="2"/>
  <c r="D554" i="2"/>
  <c r="C554" i="2"/>
  <c r="B554" i="2"/>
  <c r="D502" i="2"/>
  <c r="C502" i="2"/>
  <c r="B502" i="2"/>
  <c r="D501" i="2"/>
  <c r="C501" i="2"/>
  <c r="B501" i="2"/>
  <c r="D500" i="2"/>
  <c r="C500" i="2"/>
  <c r="B500" i="2"/>
  <c r="D444" i="2"/>
  <c r="C444" i="2"/>
  <c r="B444" i="2"/>
  <c r="D443" i="2"/>
  <c r="C443" i="2"/>
  <c r="B443" i="2"/>
  <c r="D442" i="2"/>
  <c r="C442" i="2"/>
  <c r="B442" i="2"/>
  <c r="D390" i="2"/>
  <c r="C390" i="2"/>
  <c r="B390" i="2"/>
  <c r="D389" i="2"/>
  <c r="C389" i="2"/>
  <c r="B389" i="2"/>
  <c r="D388" i="2"/>
  <c r="C388" i="2"/>
  <c r="B388" i="2"/>
  <c r="D336" i="2"/>
  <c r="C336" i="2"/>
  <c r="B336" i="2"/>
  <c r="D335" i="2"/>
  <c r="C335" i="2"/>
  <c r="B335" i="2"/>
  <c r="D334" i="2"/>
  <c r="C334" i="2"/>
  <c r="B334" i="2"/>
  <c r="D282" i="2"/>
  <c r="C282" i="2"/>
  <c r="B282" i="2"/>
  <c r="D281" i="2"/>
  <c r="C281" i="2"/>
  <c r="B281" i="2"/>
  <c r="D280" i="2"/>
  <c r="C280" i="2"/>
  <c r="B280" i="2"/>
  <c r="D224" i="2"/>
  <c r="C224" i="2"/>
  <c r="B224" i="2"/>
  <c r="D223" i="2"/>
  <c r="C223" i="2"/>
  <c r="B223" i="2"/>
  <c r="D222" i="2"/>
  <c r="C222" i="2"/>
  <c r="B222" i="2"/>
  <c r="D170" i="2"/>
  <c r="C170" i="2"/>
  <c r="B170" i="2"/>
  <c r="D169" i="2"/>
  <c r="C169" i="2"/>
  <c r="B169" i="2"/>
  <c r="D168" i="2"/>
  <c r="C168" i="2"/>
  <c r="B168" i="2"/>
  <c r="D116" i="2"/>
  <c r="C116" i="2"/>
  <c r="B116" i="2"/>
  <c r="D115" i="2"/>
  <c r="C115" i="2"/>
  <c r="B115" i="2"/>
  <c r="D114" i="2"/>
  <c r="C114" i="2"/>
  <c r="B114" i="2"/>
  <c r="D62" i="2"/>
  <c r="C62" i="2"/>
  <c r="B62" i="2"/>
  <c r="D61" i="2"/>
  <c r="C61" i="2"/>
  <c r="D60" i="2"/>
  <c r="C60" i="2"/>
  <c r="B60" i="2"/>
  <c r="W10" i="2" l="1"/>
  <c r="Q10" i="2"/>
  <c r="N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6DBF7E-4884-4759-8624-61A4E47DBA61}" keepAlive="1" name="Query - out_final" description="Connection to the 'out_final' query in the workbook." type="5" refreshedVersion="8" background="1" saveData="1">
    <dbPr connection="Provider=Microsoft.Mashup.OleDb.1;Data Source=$Workbook$;Location=out_final;Extended Properties=&quot;&quot;" command="SELECT * FROM [out_final]"/>
  </connection>
</connections>
</file>

<file path=xl/sharedStrings.xml><?xml version="1.0" encoding="utf-8"?>
<sst xmlns="http://schemas.openxmlformats.org/spreadsheetml/2006/main" count="1577" uniqueCount="83">
  <si>
    <t>Column1.1.1</t>
  </si>
  <si>
    <t>Column1.1.2</t>
  </si>
  <si>
    <t>Column1.1.3</t>
  </si>
  <si>
    <t>Column1.1.4</t>
  </si>
  <si>
    <t/>
  </si>
  <si>
    <t>quick_sort</t>
  </si>
  <si>
    <t>####10000####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</si>
  <si>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</si>
  <si>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</si>
  <si>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</si>
  <si>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</si>
  <si>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</si>
  <si>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</si>
  <si>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</si>
  <si>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</si>
  <si>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</si>
  <si>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</si>
  <si>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</si>
  <si>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</si>
  <si>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</si>
  <si>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</si>
  <si>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</si>
  <si>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</si>
  <si>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</si>
  <si>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</si>
  <si>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</si>
  <si>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</si>
  <si>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</si>
  <si>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</si>
  <si>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</si>
  <si>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</si>
  <si>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</si>
  <si>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</si>
  <si>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</si>
  <si>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</si>
  <si>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</si>
  <si>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</si>
  <si>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</si>
  <si>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</si>
  <si>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</si>
  <si>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</si>
  <si>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</si>
  <si>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</si>
  <si>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</si>
  <si>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</si>
  <si>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</si>
  <si>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</si>
  <si>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</si>
  <si>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</si>
  <si>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</si>
  <si>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</si>
  <si>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</si>
  <si>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</si>
  <si>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</si>
  <si>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</si>
  <si>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</si>
  <si>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</si>
  <si>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####100000####</t>
  </si>
  <si>
    <t>####1000000####</t>
  </si>
  <si>
    <t>####10000000####</t>
  </si>
  <si>
    <t>quick_sort_random_one</t>
  </si>
  <si>
    <t>quick_sort_random_median</t>
  </si>
  <si>
    <t>quick_sort_random_two</t>
  </si>
  <si>
    <t>quick_sort_random_two_pre</t>
  </si>
  <si>
    <t>quick_sort_random_three</t>
  </si>
  <si>
    <t>quick_sort_random_three_pre</t>
  </si>
  <si>
    <t>Average</t>
  </si>
  <si>
    <t>Variance</t>
  </si>
  <si>
    <t>Worst Case</t>
  </si>
  <si>
    <t>Quicksort_1p_l</t>
  </si>
  <si>
    <t>Quicksort_1p_r</t>
  </si>
  <si>
    <t>Quicksort_1p_m</t>
  </si>
  <si>
    <t>Quicksort_2p_r</t>
  </si>
  <si>
    <t>Quicksort_2p_r_pre</t>
  </si>
  <si>
    <t>Quicksort_3p_r</t>
  </si>
  <si>
    <t>Quicksort_3p_r_pre</t>
  </si>
  <si>
    <t>Best time</t>
  </si>
  <si>
    <t>Fewest assignments</t>
  </si>
  <si>
    <t>Fewest comparisons</t>
  </si>
  <si>
    <t>Elements</t>
  </si>
  <si>
    <t>Time</t>
  </si>
  <si>
    <t>Assignments</t>
  </si>
  <si>
    <t>Comparisons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</si>
</sst>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0" xfId="0" applyFont="1"/>
    <xf numFmtId="11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Quicksort_1p_l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10000</c:v>
              </c:pt>
              <c:pt idx="1">
                <c:v>100000</c:v>
              </c:pt>
              <c:pt idx="2">
                <c:v>1000000</c:v>
              </c:pt>
              <c:pt idx="3">
                <c:v>10000000</c:v>
              </c:pt>
            </c:numLit>
          </c:cat>
          <c:val>
            <c:numRef>
              <c:f>(out_final!$B$60,out_final!$B$114,out_final!$B$168,out_final!$B$222)</c:f>
              <c:numCache>
                <c:formatCode>General</c:formatCode>
                <c:ptCount val="4"/>
                <c:pt idx="0">
                  <c:v>1.2197200000000001E-3</c:v>
                </c:pt>
                <c:pt idx="1">
                  <c:v>1.521204E-2</c:v>
                </c:pt>
                <c:pt idx="2">
                  <c:v>0.18174561999999997</c:v>
                </c:pt>
                <c:pt idx="3">
                  <c:v>2.0257150400000001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20-4B65-9407-EC13C06CD675}"/>
            </c:ext>
          </c:extLst>
        </c:ser>
        <c:ser>
          <c:idx val="1"/>
          <c:order val="1"/>
          <c:tx>
            <c:v>Quicksort_1p_r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10000</c:v>
              </c:pt>
              <c:pt idx="1">
                <c:v>100000</c:v>
              </c:pt>
              <c:pt idx="2">
                <c:v>1000000</c:v>
              </c:pt>
              <c:pt idx="3">
                <c:v>10000000</c:v>
              </c:pt>
            </c:numLit>
          </c:cat>
          <c:val>
            <c:numRef>
              <c:f>(out_final!$B$280,out_final!$B$334,out_final!$B$388,out_final!$B$442)</c:f>
              <c:numCache>
                <c:formatCode>General</c:formatCode>
                <c:ptCount val="4"/>
                <c:pt idx="0">
                  <c:v>1.2200000000000002E-3</c:v>
                </c:pt>
                <c:pt idx="1">
                  <c:v>1.4993519999999998E-2</c:v>
                </c:pt>
                <c:pt idx="2">
                  <c:v>0.17842977999999998</c:v>
                </c:pt>
                <c:pt idx="3">
                  <c:v>2.0727355799999994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20-4B65-9407-EC13C06CD675}"/>
            </c:ext>
          </c:extLst>
        </c:ser>
        <c:ser>
          <c:idx val="2"/>
          <c:order val="2"/>
          <c:tx>
            <c:v>Quicksort_1p_m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10000</c:v>
              </c:pt>
              <c:pt idx="1">
                <c:v>100000</c:v>
              </c:pt>
              <c:pt idx="2">
                <c:v>1000000</c:v>
              </c:pt>
              <c:pt idx="3">
                <c:v>10000000</c:v>
              </c:pt>
            </c:numLit>
          </c:cat>
          <c:val>
            <c:numRef>
              <c:f>(out_final!$B$500,out_final!$B$554,out_final!$B$608,out_final!$B$662)</c:f>
              <c:numCache>
                <c:formatCode>General</c:formatCode>
                <c:ptCount val="4"/>
                <c:pt idx="0">
                  <c:v>1.4106800000000001E-3</c:v>
                </c:pt>
                <c:pt idx="1">
                  <c:v>1.7058980000000005E-2</c:v>
                </c:pt>
                <c:pt idx="2">
                  <c:v>0.19749786000000003</c:v>
                </c:pt>
                <c:pt idx="3">
                  <c:v>2.26775942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20-4B65-9407-EC13C06CD675}"/>
            </c:ext>
          </c:extLst>
        </c:ser>
        <c:ser>
          <c:idx val="3"/>
          <c:order val="3"/>
          <c:tx>
            <c:v>Quicksort_2p_r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10000</c:v>
              </c:pt>
              <c:pt idx="1">
                <c:v>100000</c:v>
              </c:pt>
              <c:pt idx="2">
                <c:v>1000000</c:v>
              </c:pt>
              <c:pt idx="3">
                <c:v>10000000</c:v>
              </c:pt>
            </c:numLit>
          </c:cat>
          <c:val>
            <c:numRef>
              <c:f>(out_final!$B$720,out_final!$B$774,out_final!$B$828,out_final!$B$882)</c:f>
              <c:numCache>
                <c:formatCode>General</c:formatCode>
                <c:ptCount val="4"/>
                <c:pt idx="0">
                  <c:v>1.13312E-3</c:v>
                </c:pt>
                <c:pt idx="1">
                  <c:v>1.4163620000000002E-2</c:v>
                </c:pt>
                <c:pt idx="2">
                  <c:v>0.16730881999999997</c:v>
                </c:pt>
                <c:pt idx="3">
                  <c:v>1.9435525600000005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E20-4B65-9407-EC13C06CD675}"/>
            </c:ext>
          </c:extLst>
        </c:ser>
        <c:ser>
          <c:idx val="4"/>
          <c:order val="4"/>
          <c:tx>
            <c:v>Quicksort_2p_r_pre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10000</c:v>
              </c:pt>
              <c:pt idx="1">
                <c:v>100000</c:v>
              </c:pt>
              <c:pt idx="2">
                <c:v>1000000</c:v>
              </c:pt>
              <c:pt idx="3">
                <c:v>10000000</c:v>
              </c:pt>
            </c:numLit>
          </c:cat>
          <c:val>
            <c:numRef>
              <c:f>(out_final!$B$940,out_final!$B$994,out_final!$B$1048,out_final!$B$1102)</c:f>
              <c:numCache>
                <c:formatCode>General</c:formatCode>
                <c:ptCount val="4"/>
                <c:pt idx="0">
                  <c:v>1.56916E-3</c:v>
                </c:pt>
                <c:pt idx="1">
                  <c:v>2.7282080000000004E-2</c:v>
                </c:pt>
                <c:pt idx="2">
                  <c:v>0.57339637999999993</c:v>
                </c:pt>
                <c:pt idx="3">
                  <c:v>12.6912488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E20-4B65-9407-EC13C06CD675}"/>
            </c:ext>
          </c:extLst>
        </c:ser>
        <c:ser>
          <c:idx val="5"/>
          <c:order val="5"/>
          <c:tx>
            <c:v>Quicksort_3p_r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10000</c:v>
              </c:pt>
              <c:pt idx="1">
                <c:v>100000</c:v>
              </c:pt>
              <c:pt idx="2">
                <c:v>1000000</c:v>
              </c:pt>
              <c:pt idx="3">
                <c:v>10000000</c:v>
              </c:pt>
            </c:numLit>
          </c:cat>
          <c:val>
            <c:numRef>
              <c:f>(out_final!$B$1160,out_final!$B$1214,out_final!$B$1268,out_final!$B$1322)</c:f>
              <c:numCache>
                <c:formatCode>General</c:formatCode>
                <c:ptCount val="4"/>
                <c:pt idx="0">
                  <c:v>1.23E-3</c:v>
                </c:pt>
                <c:pt idx="1">
                  <c:v>1.5016999999999996E-2</c:v>
                </c:pt>
                <c:pt idx="2">
                  <c:v>0.17746897999999994</c:v>
                </c:pt>
                <c:pt idx="3">
                  <c:v>2.0519029600000005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E20-4B65-9407-EC13C06CD675}"/>
            </c:ext>
          </c:extLst>
        </c:ser>
        <c:ser>
          <c:idx val="6"/>
          <c:order val="6"/>
          <c:tx>
            <c:v>Quicksort_3p_r_pre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10000</c:v>
              </c:pt>
              <c:pt idx="1">
                <c:v>100000</c:v>
              </c:pt>
              <c:pt idx="2">
                <c:v>1000000</c:v>
              </c:pt>
              <c:pt idx="3">
                <c:v>10000000</c:v>
              </c:pt>
            </c:numLit>
          </c:cat>
          <c:val>
            <c:numRef>
              <c:f>(out_final!$B$1380,out_final!$B$1434,out_final!$B$1488,out_final!$B$1542)</c:f>
              <c:numCache>
                <c:formatCode>General</c:formatCode>
                <c:ptCount val="4"/>
                <c:pt idx="0">
                  <c:v>1.5666000000000002E-3</c:v>
                </c:pt>
                <c:pt idx="1">
                  <c:v>2.2206179999999999E-2</c:v>
                </c:pt>
                <c:pt idx="2">
                  <c:v>0.40922947999999992</c:v>
                </c:pt>
                <c:pt idx="3">
                  <c:v>8.8844294600000016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E20-4B65-9407-EC13C06CD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634952"/>
        <c:axId val="1317635936"/>
      </c:lineChart>
      <c:catAx>
        <c:axId val="1317634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635936"/>
        <c:crosses val="autoZero"/>
        <c:auto val="1"/>
        <c:lblAlgn val="ctr"/>
        <c:lblOffset val="100"/>
        <c:noMultiLvlLbl val="0"/>
      </c:catAx>
      <c:valAx>
        <c:axId val="131763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634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Assignments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Quicksort_1p_l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10000</c:v>
              </c:pt>
              <c:pt idx="1">
                <c:v>100000</c:v>
              </c:pt>
              <c:pt idx="2">
                <c:v>1000000</c:v>
              </c:pt>
              <c:pt idx="3">
                <c:v>10000000</c:v>
              </c:pt>
            </c:numLit>
          </c:cat>
          <c:val>
            <c:numRef>
              <c:f>(out_final!$C$60,out_final!$C$114,out_final!$C$168,out_final!$C$222)</c:f>
              <c:numCache>
                <c:formatCode>General</c:formatCode>
                <c:ptCount val="4"/>
                <c:pt idx="0">
                  <c:v>101325.2</c:v>
                </c:pt>
                <c:pt idx="1">
                  <c:v>1245630.54</c:v>
                </c:pt>
                <c:pt idx="2">
                  <c:v>14729511.380000001</c:v>
                </c:pt>
                <c:pt idx="3">
                  <c:v>170460923.47999999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2A-4590-89CB-4CE00D493E69}"/>
            </c:ext>
          </c:extLst>
        </c:ser>
        <c:ser>
          <c:idx val="1"/>
          <c:order val="1"/>
          <c:tx>
            <c:v>Quicksort_1p_r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10000</c:v>
              </c:pt>
              <c:pt idx="1">
                <c:v>100000</c:v>
              </c:pt>
              <c:pt idx="2">
                <c:v>1000000</c:v>
              </c:pt>
              <c:pt idx="3">
                <c:v>10000000</c:v>
              </c:pt>
            </c:numLit>
          </c:cat>
          <c:val>
            <c:numRef>
              <c:f>(out_final!$C$280,out_final!$C$334,out_final!$C$388,out_final!$C$442)</c:f>
              <c:numCache>
                <c:formatCode>General</c:formatCode>
                <c:ptCount val="4"/>
                <c:pt idx="0">
                  <c:v>127943.98</c:v>
                </c:pt>
                <c:pt idx="1">
                  <c:v>1511238.32</c:v>
                </c:pt>
                <c:pt idx="2">
                  <c:v>17418257.82</c:v>
                </c:pt>
                <c:pt idx="3">
                  <c:v>197255011.81999999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2A-4590-89CB-4CE00D493E69}"/>
            </c:ext>
          </c:extLst>
        </c:ser>
        <c:ser>
          <c:idx val="2"/>
          <c:order val="2"/>
          <c:tx>
            <c:v>Quicksort_1p_m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10000</c:v>
              </c:pt>
              <c:pt idx="1">
                <c:v>100000</c:v>
              </c:pt>
              <c:pt idx="2">
                <c:v>1000000</c:v>
              </c:pt>
              <c:pt idx="3">
                <c:v>10000000</c:v>
              </c:pt>
            </c:numLit>
          </c:cat>
          <c:val>
            <c:numRef>
              <c:f>(out_final!$C$500,out_final!$C$554,out_final!$C$608,out_final!$C$662)</c:f>
              <c:numCache>
                <c:formatCode>General</c:formatCode>
                <c:ptCount val="4"/>
                <c:pt idx="0">
                  <c:v>152908.70000000001</c:v>
                </c:pt>
                <c:pt idx="1">
                  <c:v>1760289.28</c:v>
                </c:pt>
                <c:pt idx="2">
                  <c:v>19948714.739999998</c:v>
                </c:pt>
                <c:pt idx="3">
                  <c:v>222878314.30000001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2A-4590-89CB-4CE00D493E69}"/>
            </c:ext>
          </c:extLst>
        </c:ser>
        <c:ser>
          <c:idx val="3"/>
          <c:order val="3"/>
          <c:tx>
            <c:v>Quicksort_2p_r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10000</c:v>
              </c:pt>
              <c:pt idx="1">
                <c:v>100000</c:v>
              </c:pt>
              <c:pt idx="2">
                <c:v>1000000</c:v>
              </c:pt>
              <c:pt idx="3">
                <c:v>10000000</c:v>
              </c:pt>
            </c:numLit>
          </c:cat>
          <c:val>
            <c:numRef>
              <c:f>(out_final!$C$720,out_final!$C$774,out_final!$C$828,out_final!$C$882)</c:f>
              <c:numCache>
                <c:formatCode>General</c:formatCode>
                <c:ptCount val="4"/>
                <c:pt idx="0">
                  <c:v>204574.07999999999</c:v>
                </c:pt>
                <c:pt idx="1">
                  <c:v>2466557.8199999998</c:v>
                </c:pt>
                <c:pt idx="2">
                  <c:v>28910957.02</c:v>
                </c:pt>
                <c:pt idx="3">
                  <c:v>328665601.66000003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2A-4590-89CB-4CE00D493E69}"/>
            </c:ext>
          </c:extLst>
        </c:ser>
        <c:ser>
          <c:idx val="4"/>
          <c:order val="4"/>
          <c:tx>
            <c:v>Quicksort_2p_r_pre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10000</c:v>
              </c:pt>
              <c:pt idx="1">
                <c:v>100000</c:v>
              </c:pt>
              <c:pt idx="2">
                <c:v>1000000</c:v>
              </c:pt>
              <c:pt idx="3">
                <c:v>10000000</c:v>
              </c:pt>
            </c:numLit>
          </c:cat>
          <c:val>
            <c:numRef>
              <c:f>(out_final!$C$940,out_final!$C$994,out_final!$C$1048,out_final!$C$1102)</c:f>
              <c:numCache>
                <c:formatCode>General</c:formatCode>
                <c:ptCount val="4"/>
                <c:pt idx="0">
                  <c:v>266232.08</c:v>
                </c:pt>
                <c:pt idx="1">
                  <c:v>4354088.0599999996</c:v>
                </c:pt>
                <c:pt idx="2">
                  <c:v>89717553.079999998</c:v>
                </c:pt>
                <c:pt idx="3">
                  <c:v>1983712974.4400001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2A-4590-89CB-4CE00D493E69}"/>
            </c:ext>
          </c:extLst>
        </c:ser>
        <c:ser>
          <c:idx val="5"/>
          <c:order val="5"/>
          <c:tx>
            <c:v>Quicksort_3p_r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10000</c:v>
              </c:pt>
              <c:pt idx="1">
                <c:v>100000</c:v>
              </c:pt>
              <c:pt idx="2">
                <c:v>1000000</c:v>
              </c:pt>
              <c:pt idx="3">
                <c:v>10000000</c:v>
              </c:pt>
            </c:numLit>
          </c:cat>
          <c:val>
            <c:numRef>
              <c:f>(out_final!$C$1160,out_final!$C$1214,out_final!$C$1268,out_final!$C$1322)</c:f>
              <c:numCache>
                <c:formatCode>General</c:formatCode>
                <c:ptCount val="4"/>
                <c:pt idx="0">
                  <c:v>241033.98</c:v>
                </c:pt>
                <c:pt idx="1">
                  <c:v>2853877.26</c:v>
                </c:pt>
                <c:pt idx="2">
                  <c:v>32923669.199999999</c:v>
                </c:pt>
                <c:pt idx="3">
                  <c:v>376434029.39999998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2A-4590-89CB-4CE00D493E69}"/>
            </c:ext>
          </c:extLst>
        </c:ser>
        <c:ser>
          <c:idx val="6"/>
          <c:order val="6"/>
          <c:tx>
            <c:v>Quicksort_3p_r_pre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10000</c:v>
              </c:pt>
              <c:pt idx="1">
                <c:v>100000</c:v>
              </c:pt>
              <c:pt idx="2">
                <c:v>1000000</c:v>
              </c:pt>
              <c:pt idx="3">
                <c:v>10000000</c:v>
              </c:pt>
            </c:numLit>
          </c:cat>
          <c:val>
            <c:numRef>
              <c:f>(out_final!$C$1380,out_final!$C$1434,out_final!$C$1488,out_final!$C$1542)</c:f>
              <c:numCache>
                <c:formatCode>General</c:formatCode>
                <c:ptCount val="4"/>
                <c:pt idx="0">
                  <c:v>288380.78000000003</c:v>
                </c:pt>
                <c:pt idx="1">
                  <c:v>3922619.16</c:v>
                </c:pt>
                <c:pt idx="2">
                  <c:v>68301482.920000002</c:v>
                </c:pt>
                <c:pt idx="3">
                  <c:v>1424828535.1800001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2A-4590-89CB-4CE00D493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634952"/>
        <c:axId val="1317635936"/>
      </c:lineChart>
      <c:catAx>
        <c:axId val="1317634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635936"/>
        <c:crosses val="autoZero"/>
        <c:auto val="1"/>
        <c:lblAlgn val="ctr"/>
        <c:lblOffset val="100"/>
        <c:noMultiLvlLbl val="0"/>
      </c:catAx>
      <c:valAx>
        <c:axId val="131763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Assighnments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634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Quicksort_1p_l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10000</c:v>
              </c:pt>
              <c:pt idx="1">
                <c:v>100000</c:v>
              </c:pt>
              <c:pt idx="2">
                <c:v>1000000</c:v>
              </c:pt>
              <c:pt idx="3">
                <c:v>10000000</c:v>
              </c:pt>
            </c:numLit>
          </c:cat>
          <c:val>
            <c:numRef>
              <c:f>(out_final!$D$60,out_final!$D$114,out_final!$D$168,out_final!$D$222)</c:f>
              <c:numCache>
                <c:formatCode>General</c:formatCode>
                <c:ptCount val="4"/>
                <c:pt idx="0">
                  <c:v>421509.42</c:v>
                </c:pt>
                <c:pt idx="1">
                  <c:v>5267564.82</c:v>
                </c:pt>
                <c:pt idx="2">
                  <c:v>63675659.219999999</c:v>
                </c:pt>
                <c:pt idx="3">
                  <c:v>742423308.70000005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13-4CEB-B8A2-03D7984A2A90}"/>
            </c:ext>
          </c:extLst>
        </c:ser>
        <c:ser>
          <c:idx val="1"/>
          <c:order val="1"/>
          <c:tx>
            <c:v>Quicksort_1p_r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10000</c:v>
              </c:pt>
              <c:pt idx="1">
                <c:v>100000</c:v>
              </c:pt>
              <c:pt idx="2">
                <c:v>1000000</c:v>
              </c:pt>
              <c:pt idx="3">
                <c:v>10000000</c:v>
              </c:pt>
            </c:numLit>
          </c:cat>
          <c:val>
            <c:numRef>
              <c:f>(out_final!$D$280,out_final!$D$334,out_final!$D$388,out_final!$D$442)</c:f>
              <c:numCache>
                <c:formatCode>General</c:formatCode>
                <c:ptCount val="4"/>
                <c:pt idx="0">
                  <c:v>420837.22</c:v>
                </c:pt>
                <c:pt idx="1">
                  <c:v>5280600.4800000004</c:v>
                </c:pt>
                <c:pt idx="2">
                  <c:v>63542054.859999999</c:v>
                </c:pt>
                <c:pt idx="3">
                  <c:v>742459210.58000004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13-4CEB-B8A2-03D7984A2A90}"/>
            </c:ext>
          </c:extLst>
        </c:ser>
        <c:ser>
          <c:idx val="2"/>
          <c:order val="2"/>
          <c:tx>
            <c:v>Quicksort_1p_m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10000</c:v>
              </c:pt>
              <c:pt idx="1">
                <c:v>100000</c:v>
              </c:pt>
              <c:pt idx="2">
                <c:v>1000000</c:v>
              </c:pt>
              <c:pt idx="3">
                <c:v>10000000</c:v>
              </c:pt>
            </c:numLit>
          </c:cat>
          <c:val>
            <c:numRef>
              <c:f>(out_final!$D$500,out_final!$D$554,out_final!$D$608,out_final!$D$662)</c:f>
              <c:numCache>
                <c:formatCode>General</c:formatCode>
                <c:ptCount val="4"/>
                <c:pt idx="0">
                  <c:v>445991.08</c:v>
                </c:pt>
                <c:pt idx="1">
                  <c:v>5522716.2999999998</c:v>
                </c:pt>
                <c:pt idx="2">
                  <c:v>65180848.380000003</c:v>
                </c:pt>
                <c:pt idx="3">
                  <c:v>754642599.48000002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13-4CEB-B8A2-03D7984A2A90}"/>
            </c:ext>
          </c:extLst>
        </c:ser>
        <c:ser>
          <c:idx val="3"/>
          <c:order val="3"/>
          <c:tx>
            <c:v>Quicksort_2p_r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10000</c:v>
              </c:pt>
              <c:pt idx="1">
                <c:v>100000</c:v>
              </c:pt>
              <c:pt idx="2">
                <c:v>1000000</c:v>
              </c:pt>
              <c:pt idx="3">
                <c:v>10000000</c:v>
              </c:pt>
            </c:numLit>
          </c:cat>
          <c:val>
            <c:numRef>
              <c:f>(out_final!$D$720,out_final!$D$774,out_final!$D$828,out_final!$D$882)</c:f>
              <c:numCache>
                <c:formatCode>General</c:formatCode>
                <c:ptCount val="4"/>
                <c:pt idx="0">
                  <c:v>257560.5</c:v>
                </c:pt>
                <c:pt idx="1">
                  <c:v>3295452.12</c:v>
                </c:pt>
                <c:pt idx="2">
                  <c:v>40028415.140000001</c:v>
                </c:pt>
                <c:pt idx="3">
                  <c:v>473496550.98000002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13-4CEB-B8A2-03D7984A2A90}"/>
            </c:ext>
          </c:extLst>
        </c:ser>
        <c:ser>
          <c:idx val="4"/>
          <c:order val="4"/>
          <c:tx>
            <c:v>Quicksort_2p_r_pre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10000</c:v>
              </c:pt>
              <c:pt idx="1">
                <c:v>100000</c:v>
              </c:pt>
              <c:pt idx="2">
                <c:v>1000000</c:v>
              </c:pt>
              <c:pt idx="3">
                <c:v>10000000</c:v>
              </c:pt>
            </c:numLit>
          </c:cat>
          <c:val>
            <c:numRef>
              <c:f>(out_final!$D$940,out_final!$D$994,out_final!$D$1048,out_final!$D$1102)</c:f>
              <c:numCache>
                <c:formatCode>General</c:formatCode>
                <c:ptCount val="4"/>
                <c:pt idx="0">
                  <c:v>429162.64</c:v>
                </c:pt>
                <c:pt idx="1">
                  <c:v>8844194.6600000001</c:v>
                </c:pt>
                <c:pt idx="2">
                  <c:v>220866727.88</c:v>
                </c:pt>
                <c:pt idx="3">
                  <c:v>5416572998.1999998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13-4CEB-B8A2-03D7984A2A90}"/>
            </c:ext>
          </c:extLst>
        </c:ser>
        <c:ser>
          <c:idx val="5"/>
          <c:order val="5"/>
          <c:tx>
            <c:v>Quicksort_3p_r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10000</c:v>
              </c:pt>
              <c:pt idx="1">
                <c:v>100000</c:v>
              </c:pt>
              <c:pt idx="2">
                <c:v>1000000</c:v>
              </c:pt>
              <c:pt idx="3">
                <c:v>10000000</c:v>
              </c:pt>
            </c:numLit>
          </c:cat>
          <c:val>
            <c:numRef>
              <c:f>(out_final!$D$1160,out_final!$D$1214,out_final!$D$1268,out_final!$D$1322)</c:f>
              <c:numCache>
                <c:formatCode>General</c:formatCode>
                <c:ptCount val="4"/>
                <c:pt idx="0">
                  <c:v>240747.26</c:v>
                </c:pt>
                <c:pt idx="1">
                  <c:v>3012116.52</c:v>
                </c:pt>
                <c:pt idx="2">
                  <c:v>36602104.240000002</c:v>
                </c:pt>
                <c:pt idx="3">
                  <c:v>431493903.63999999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F13-4CEB-B8A2-03D7984A2A90}"/>
            </c:ext>
          </c:extLst>
        </c:ser>
        <c:ser>
          <c:idx val="6"/>
          <c:order val="6"/>
          <c:tx>
            <c:v>Quicksort_3p_r_pre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Lit>
              <c:formatCode>General</c:formatCode>
              <c:ptCount val="4"/>
              <c:pt idx="0">
                <c:v>10000</c:v>
              </c:pt>
              <c:pt idx="1">
                <c:v>100000</c:v>
              </c:pt>
              <c:pt idx="2">
                <c:v>1000000</c:v>
              </c:pt>
              <c:pt idx="3">
                <c:v>10000000</c:v>
              </c:pt>
            </c:numLit>
          </c:cat>
          <c:val>
            <c:numRef>
              <c:f>(out_final!$D$1380,out_final!$D$1434,out_final!$D$1488,out_final!$D$1542)</c:f>
              <c:numCache>
                <c:formatCode>General</c:formatCode>
                <c:ptCount val="4"/>
                <c:pt idx="0">
                  <c:v>347746.24</c:v>
                </c:pt>
                <c:pt idx="1">
                  <c:v>5883298.5800000001</c:v>
                </c:pt>
                <c:pt idx="2">
                  <c:v>138966134.22</c:v>
                </c:pt>
                <c:pt idx="3">
                  <c:v>3550460421.6399999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13-4CEB-B8A2-03D7984A2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634952"/>
        <c:axId val="1317635936"/>
      </c:lineChart>
      <c:catAx>
        <c:axId val="1317634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635936"/>
        <c:crosses val="autoZero"/>
        <c:auto val="1"/>
        <c:lblAlgn val="ctr"/>
        <c:lblOffset val="100"/>
        <c:noMultiLvlLbl val="0"/>
      </c:catAx>
      <c:valAx>
        <c:axId val="131763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Comparisons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634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288129</xdr:colOff>
      <xdr:row>83</xdr:row>
      <xdr:rowOff>164305</xdr:rowOff>
    </xdr:from>
    <xdr:to>
      <xdr:col>18</xdr:col>
      <xdr:colOff>304800</xdr:colOff>
      <xdr:row>104</xdr:row>
      <xdr:rowOff>14288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0B7325-A175-2B1E-FF46-17EEA57CB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18</xdr:col>
      <xdr:colOff>16671</xdr:colOff>
      <xdr:row>57</xdr:row>
      <xdr:rowOff>30958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EB73E17-D7BB-4265-B42E-04930910A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18</xdr:col>
      <xdr:colOff>16671</xdr:colOff>
      <xdr:row>81</xdr:row>
      <xdr:rowOff>30958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10D1E9-FF6D-4FB7-AF23-9712EABD0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587E12-4A41-44EA-AE4D-7333E7B94C21}" autoFormatId="16" applyNumberFormats="0" applyBorderFormats="0" applyFontFormats="0" applyPatternFormats="0" applyAlignmentFormats="0" applyWidthHeightFormats="0">
  <queryTableRefresh nextId="5">
    <queryTableFields count="4">
      <queryTableField id="1" name="Column1.1.1" tableColumnId="1"/>
      <queryTableField id="2" name="Column1.1.2" tableColumnId="2"/>
      <queryTableField id="3" name="Column1.1.3" tableColumnId="3"/>
      <queryTableField id="4" name="Column1.1.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9AE278-D20B-4497-9F5E-7B2D4135B2D0}" name="out_final" displayName="out_final" ref="A1:D1544" tableType="queryTable" totalsRowShown="0">
  <autoFilter ref="A1:D1544" xr:uid="{2D9AE278-D20B-4497-9F5E-7B2D4135B2D0}"/>
  <tableColumns count="4">
    <tableColumn id="1" xr3:uid="{FE74E1FE-74C0-4210-B440-18A573754655}" uniqueName="1" name="Column1.1.1" queryTableFieldId="1" dataDxfId="0"/>
    <tableColumn id="2" xr3:uid="{0ED4812F-4441-4BD8-A4A1-5A38379351A7}" uniqueName="2" name="Column1.1.2" queryTableFieldId="2"/>
    <tableColumn id="3" xr3:uid="{CE50D5D6-5B60-43ED-90C5-1C0253748B77}" uniqueName="3" name="Column1.1.3" queryTableFieldId="3"/>
    <tableColumn id="4" xr3:uid="{C2F6BBEB-3784-44E1-A4FF-9BEA72D58CA4}" uniqueName="4" name="Column1.1.4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F30F1-94F0-4ADD-8522-DBB482DCF339}">
  <dimension ref="A1:AO1544"/>
  <sheetViews>
    <sheetView tabSelected="1" zoomScaleNormal="100" workbookViewId="0">
      <selection activeCell="M26" sqref="M26"/>
    </sheetView>
  </sheetViews>
  <sheetFormatPr defaultRowHeight="14.25" x14ac:dyDescent="0.45"/>
  <cols>
    <col min="1" max="1" width="24.796875" bestFit="1" customWidth="1"/>
    <col min="2" max="4" width="13.265625" bestFit="1" customWidth="1"/>
    <col min="7" max="7" width="17.6640625" customWidth="1"/>
    <col min="8" max="8" width="11.59765625" bestFit="1" customWidth="1"/>
    <col min="13" max="13" width="19.3984375" customWidth="1"/>
    <col min="17" max="17" width="11.73046875" bestFit="1" customWidth="1"/>
    <col min="19" max="19" width="17.59765625" customWidth="1"/>
    <col min="22" max="23" width="11.73046875" bestFit="1" customWidth="1"/>
    <col min="25" max="25" width="18.06640625" customWidth="1"/>
    <col min="26" max="26" width="11.9296875" customWidth="1"/>
    <col min="27" max="27" width="12.46484375" customWidth="1"/>
    <col min="28" max="28" width="12.06640625" customWidth="1"/>
    <col min="29" max="29" width="12.33203125" customWidth="1"/>
    <col min="31" max="31" width="17.9296875" customWidth="1"/>
    <col min="32" max="32" width="15.59765625" customWidth="1"/>
    <col min="33" max="33" width="11.46484375" customWidth="1"/>
    <col min="34" max="34" width="10.73046875" customWidth="1"/>
    <col min="35" max="35" width="11.33203125" customWidth="1"/>
  </cols>
  <sheetData>
    <row r="1" spans="1:41" x14ac:dyDescent="0.45">
      <c r="A1" t="s">
        <v>0</v>
      </c>
      <c r="B1" t="s">
        <v>1</v>
      </c>
      <c r="C1" t="s">
        <v>2</v>
      </c>
      <c r="D1" t="s">
        <v>3</v>
      </c>
      <c r="G1" t="s">
        <v>80</v>
      </c>
      <c r="M1" t="s">
        <v>81</v>
      </c>
      <c r="S1" t="s">
        <v>82</v>
      </c>
    </row>
    <row r="2" spans="1:41" x14ac:dyDescent="0.45">
      <c r="A2" s="1" t="s">
        <v>4</v>
      </c>
      <c r="G2" t="s">
        <v>79</v>
      </c>
      <c r="H2">
        <v>10000</v>
      </c>
      <c r="I2">
        <v>100000</v>
      </c>
      <c r="J2">
        <v>1000000</v>
      </c>
      <c r="K2">
        <v>10000000</v>
      </c>
      <c r="M2" t="s">
        <v>79</v>
      </c>
      <c r="N2">
        <v>10000</v>
      </c>
      <c r="O2">
        <v>100000</v>
      </c>
      <c r="P2">
        <v>1000000</v>
      </c>
      <c r="Q2">
        <v>10000000</v>
      </c>
      <c r="S2" t="s">
        <v>79</v>
      </c>
      <c r="T2">
        <v>10000</v>
      </c>
      <c r="U2">
        <v>100000</v>
      </c>
      <c r="V2">
        <v>1000000</v>
      </c>
      <c r="W2">
        <v>10000000</v>
      </c>
      <c r="AK2" s="2"/>
      <c r="AL2" s="2"/>
      <c r="AM2" s="2"/>
      <c r="AN2" s="2"/>
      <c r="AO2" s="2"/>
    </row>
    <row r="3" spans="1:41" x14ac:dyDescent="0.45">
      <c r="A3" s="1" t="s">
        <v>4</v>
      </c>
      <c r="G3" t="s">
        <v>69</v>
      </c>
      <c r="H3">
        <f>(B60)</f>
        <v>1.2197200000000001E-3</v>
      </c>
      <c r="I3">
        <f>B114</f>
        <v>1.521204E-2</v>
      </c>
      <c r="J3">
        <f>B168</f>
        <v>0.18174561999999997</v>
      </c>
      <c r="K3">
        <f>B222</f>
        <v>2.0257150400000001</v>
      </c>
      <c r="M3" t="s">
        <v>69</v>
      </c>
      <c r="N3">
        <f>(C60)</f>
        <v>101325.2</v>
      </c>
      <c r="O3">
        <f>C114</f>
        <v>1245630.54</v>
      </c>
      <c r="P3">
        <f>C168</f>
        <v>14729511.380000001</v>
      </c>
      <c r="Q3">
        <f>C222</f>
        <v>170460923.47999999</v>
      </c>
      <c r="S3" t="s">
        <v>69</v>
      </c>
      <c r="T3">
        <f>(D60)</f>
        <v>421509.42</v>
      </c>
      <c r="U3">
        <f>D114</f>
        <v>5267564.82</v>
      </c>
      <c r="V3">
        <f>D168</f>
        <v>63675659.219999999</v>
      </c>
      <c r="W3">
        <f>D222</f>
        <v>742423308.70000005</v>
      </c>
      <c r="AK3" s="2"/>
      <c r="AL3" s="4"/>
      <c r="AM3" s="4"/>
      <c r="AN3" s="4"/>
      <c r="AO3" s="3"/>
    </row>
    <row r="4" spans="1:41" x14ac:dyDescent="0.45">
      <c r="A4" s="1" t="s">
        <v>4</v>
      </c>
      <c r="G4" t="s">
        <v>70</v>
      </c>
      <c r="H4">
        <f>B280</f>
        <v>1.2200000000000002E-3</v>
      </c>
      <c r="I4">
        <f>B334</f>
        <v>1.4993519999999998E-2</v>
      </c>
      <c r="J4">
        <f>B388</f>
        <v>0.17842977999999998</v>
      </c>
      <c r="K4">
        <f>B442</f>
        <v>2.0727355799999994</v>
      </c>
      <c r="M4" t="s">
        <v>70</v>
      </c>
      <c r="N4">
        <f>C280</f>
        <v>127943.98</v>
      </c>
      <c r="O4">
        <f>C334</f>
        <v>1511238.32</v>
      </c>
      <c r="P4">
        <f>C388</f>
        <v>17418257.82</v>
      </c>
      <c r="Q4">
        <f>C442</f>
        <v>197255011.81999999</v>
      </c>
      <c r="S4" t="s">
        <v>70</v>
      </c>
      <c r="T4">
        <f>D280</f>
        <v>420837.22</v>
      </c>
      <c r="U4">
        <f>D334</f>
        <v>5280600.4800000004</v>
      </c>
      <c r="V4">
        <f>D388</f>
        <v>63542054.859999999</v>
      </c>
      <c r="W4">
        <f>D442</f>
        <v>742459210.58000004</v>
      </c>
      <c r="AK4" s="2"/>
      <c r="AL4" s="4"/>
      <c r="AM4" s="4"/>
      <c r="AN4" s="4"/>
      <c r="AO4" s="3"/>
    </row>
    <row r="5" spans="1:41" x14ac:dyDescent="0.45">
      <c r="A5" s="1" t="s">
        <v>5</v>
      </c>
      <c r="G5" t="s">
        <v>71</v>
      </c>
      <c r="H5">
        <f>B500</f>
        <v>1.4106800000000001E-3</v>
      </c>
      <c r="I5">
        <f>B554</f>
        <v>1.7058980000000005E-2</v>
      </c>
      <c r="J5">
        <f>B608</f>
        <v>0.19749786000000003</v>
      </c>
      <c r="K5">
        <f>B662</f>
        <v>2.26775942</v>
      </c>
      <c r="M5" t="s">
        <v>71</v>
      </c>
      <c r="N5">
        <f>C500</f>
        <v>152908.70000000001</v>
      </c>
      <c r="O5">
        <f>C554</f>
        <v>1760289.28</v>
      </c>
      <c r="P5">
        <f>C608</f>
        <v>19948714.739999998</v>
      </c>
      <c r="Q5">
        <f>C662</f>
        <v>222878314.30000001</v>
      </c>
      <c r="S5" t="s">
        <v>71</v>
      </c>
      <c r="T5">
        <f>D500</f>
        <v>445991.08</v>
      </c>
      <c r="U5">
        <f>D554</f>
        <v>5522716.2999999998</v>
      </c>
      <c r="V5">
        <f>D608</f>
        <v>65180848.380000003</v>
      </c>
      <c r="W5">
        <f>D662</f>
        <v>754642599.48000002</v>
      </c>
      <c r="AK5" s="2"/>
      <c r="AL5" s="4"/>
      <c r="AM5" s="4"/>
      <c r="AN5" s="4"/>
      <c r="AO5" s="3"/>
    </row>
    <row r="6" spans="1:41" x14ac:dyDescent="0.45">
      <c r="A6" s="1" t="s">
        <v>4</v>
      </c>
      <c r="G6" t="s">
        <v>72</v>
      </c>
      <c r="H6">
        <f>B720</f>
        <v>1.13312E-3</v>
      </c>
      <c r="I6">
        <f>B774</f>
        <v>1.4163620000000002E-2</v>
      </c>
      <c r="J6">
        <f>B828</f>
        <v>0.16730881999999997</v>
      </c>
      <c r="K6">
        <f>B882</f>
        <v>1.9435525600000005</v>
      </c>
      <c r="M6" t="s">
        <v>72</v>
      </c>
      <c r="N6">
        <f>C720</f>
        <v>204574.07999999999</v>
      </c>
      <c r="O6">
        <f>C774</f>
        <v>2466557.8199999998</v>
      </c>
      <c r="P6">
        <f>C828</f>
        <v>28910957.02</v>
      </c>
      <c r="Q6">
        <f>C882</f>
        <v>328665601.66000003</v>
      </c>
      <c r="S6" t="s">
        <v>72</v>
      </c>
      <c r="T6">
        <f>D720</f>
        <v>257560.5</v>
      </c>
      <c r="U6">
        <f>D774</f>
        <v>3295452.12</v>
      </c>
      <c r="V6">
        <f>D828</f>
        <v>40028415.140000001</v>
      </c>
      <c r="W6">
        <f>D882</f>
        <v>473496550.98000002</v>
      </c>
      <c r="AK6" s="2"/>
      <c r="AL6" s="4"/>
      <c r="AM6" s="4"/>
      <c r="AN6" s="3"/>
      <c r="AO6" s="3"/>
    </row>
    <row r="7" spans="1:41" x14ac:dyDescent="0.45">
      <c r="A7" s="1" t="s">
        <v>4</v>
      </c>
      <c r="G7" t="s">
        <v>73</v>
      </c>
      <c r="H7">
        <f>B940</f>
        <v>1.56916E-3</v>
      </c>
      <c r="I7">
        <f>B994</f>
        <v>2.7282080000000004E-2</v>
      </c>
      <c r="J7">
        <f>B1048</f>
        <v>0.57339637999999993</v>
      </c>
      <c r="K7">
        <f>B1102</f>
        <v>12.6912488</v>
      </c>
      <c r="M7" t="s">
        <v>73</v>
      </c>
      <c r="N7">
        <f>C940</f>
        <v>266232.08</v>
      </c>
      <c r="O7">
        <f>C994</f>
        <v>4354088.0599999996</v>
      </c>
      <c r="P7">
        <f>C1048</f>
        <v>89717553.079999998</v>
      </c>
      <c r="Q7">
        <f>C1102</f>
        <v>1983712974.4400001</v>
      </c>
      <c r="S7" t="s">
        <v>73</v>
      </c>
      <c r="T7">
        <f>D940</f>
        <v>429162.64</v>
      </c>
      <c r="U7">
        <f>D994</f>
        <v>8844194.6600000001</v>
      </c>
      <c r="V7">
        <f>D1048</f>
        <v>220866727.88</v>
      </c>
      <c r="W7">
        <f>D1102</f>
        <v>5416572998.1999998</v>
      </c>
      <c r="AK7" s="2"/>
      <c r="AL7" s="4"/>
      <c r="AM7" s="3"/>
      <c r="AN7" s="3"/>
      <c r="AO7" s="3"/>
    </row>
    <row r="8" spans="1:41" x14ac:dyDescent="0.45">
      <c r="A8" s="1" t="s">
        <v>4</v>
      </c>
      <c r="G8" t="s">
        <v>74</v>
      </c>
      <c r="H8">
        <f>B1160</f>
        <v>1.23E-3</v>
      </c>
      <c r="I8">
        <f>B1214</f>
        <v>1.5016999999999996E-2</v>
      </c>
      <c r="J8">
        <f>B1268</f>
        <v>0.17746897999999994</v>
      </c>
      <c r="K8">
        <f>B1322</f>
        <v>2.0519029600000005</v>
      </c>
      <c r="M8" t="s">
        <v>74</v>
      </c>
      <c r="N8">
        <f>C1160</f>
        <v>241033.98</v>
      </c>
      <c r="O8">
        <f>C1214</f>
        <v>2853877.26</v>
      </c>
      <c r="P8">
        <f>C1268</f>
        <v>32923669.199999999</v>
      </c>
      <c r="Q8">
        <f>C1322</f>
        <v>376434029.39999998</v>
      </c>
      <c r="S8" t="s">
        <v>74</v>
      </c>
      <c r="T8">
        <f>D1160</f>
        <v>240747.26</v>
      </c>
      <c r="U8">
        <f>D1214</f>
        <v>3012116.52</v>
      </c>
      <c r="V8">
        <f>D1268</f>
        <v>36602104.240000002</v>
      </c>
      <c r="W8">
        <f>D1322</f>
        <v>431493903.63999999</v>
      </c>
      <c r="AK8" s="2"/>
      <c r="AL8" s="4"/>
      <c r="AM8" s="4"/>
      <c r="AN8" s="3"/>
      <c r="AO8" s="3"/>
    </row>
    <row r="9" spans="1:41" x14ac:dyDescent="0.45">
      <c r="A9" s="1" t="s">
        <v>6</v>
      </c>
      <c r="G9" t="s">
        <v>75</v>
      </c>
      <c r="H9">
        <f>B1380</f>
        <v>1.5666000000000002E-3</v>
      </c>
      <c r="I9">
        <f>B1434</f>
        <v>2.2206179999999999E-2</v>
      </c>
      <c r="J9">
        <f>B1488</f>
        <v>0.40922947999999992</v>
      </c>
      <c r="K9">
        <f>B1542</f>
        <v>8.8844294600000016</v>
      </c>
      <c r="M9" t="s">
        <v>75</v>
      </c>
      <c r="N9">
        <f>C1380</f>
        <v>288380.78000000003</v>
      </c>
      <c r="O9">
        <f>C1434</f>
        <v>3922619.16</v>
      </c>
      <c r="P9">
        <f>C1488</f>
        <v>68301482.920000002</v>
      </c>
      <c r="Q9">
        <f>C1542</f>
        <v>1424828535.1800001</v>
      </c>
      <c r="S9" t="s">
        <v>75</v>
      </c>
      <c r="T9">
        <f>D1380</f>
        <v>347746.24</v>
      </c>
      <c r="U9">
        <f>D1434</f>
        <v>5883298.5800000001</v>
      </c>
      <c r="V9">
        <f>D1488</f>
        <v>138966134.22</v>
      </c>
      <c r="W9">
        <f>D1542</f>
        <v>3550460421.6399999</v>
      </c>
      <c r="AK9" s="2"/>
      <c r="AL9" s="4"/>
      <c r="AM9" s="3"/>
      <c r="AN9" s="3"/>
      <c r="AO9" s="3"/>
    </row>
    <row r="10" spans="1:41" x14ac:dyDescent="0.45">
      <c r="A10" s="1" t="s">
        <v>7</v>
      </c>
      <c r="B10">
        <v>1.227E-3</v>
      </c>
      <c r="C10">
        <v>101481</v>
      </c>
      <c r="D10">
        <v>409753</v>
      </c>
      <c r="G10" t="s">
        <v>76</v>
      </c>
      <c r="H10">
        <f>MIN(H3:H9)</f>
        <v>1.13312E-3</v>
      </c>
      <c r="I10">
        <f>MIN(I3:I9)</f>
        <v>1.4163620000000002E-2</v>
      </c>
      <c r="J10">
        <f>MIN(J3:J9)</f>
        <v>0.16730881999999997</v>
      </c>
      <c r="K10">
        <f>MIN(K3:K9)</f>
        <v>1.9435525600000005</v>
      </c>
      <c r="M10" t="s">
        <v>77</v>
      </c>
      <c r="N10">
        <f>MIN(N3:N9)</f>
        <v>101325.2</v>
      </c>
      <c r="O10">
        <f>MIN(O3:O9)</f>
        <v>1245630.54</v>
      </c>
      <c r="P10">
        <f>MIN(P3:P9)</f>
        <v>14729511.380000001</v>
      </c>
      <c r="Q10">
        <f>MIN(Q3:Q9)</f>
        <v>170460923.47999999</v>
      </c>
      <c r="S10" t="s">
        <v>78</v>
      </c>
      <c r="T10">
        <f>MIN(T3:T9)</f>
        <v>240747.26</v>
      </c>
      <c r="U10">
        <f>MIN(U3:U9)</f>
        <v>3012116.52</v>
      </c>
      <c r="V10">
        <f>MIN(V3:V9)</f>
        <v>36602104.240000002</v>
      </c>
      <c r="W10">
        <f>MIN(W3:W9)</f>
        <v>431493903.63999999</v>
      </c>
    </row>
    <row r="11" spans="1:41" x14ac:dyDescent="0.45">
      <c r="A11" s="1" t="s">
        <v>8</v>
      </c>
      <c r="B11">
        <v>1.263E-3</v>
      </c>
      <c r="C11">
        <v>102373</v>
      </c>
      <c r="D11">
        <v>415772</v>
      </c>
    </row>
    <row r="12" spans="1:41" x14ac:dyDescent="0.45">
      <c r="A12" s="1" t="s">
        <v>9</v>
      </c>
      <c r="B12">
        <v>1.2669999999999999E-3</v>
      </c>
      <c r="C12">
        <v>101471</v>
      </c>
      <c r="D12">
        <v>415576</v>
      </c>
    </row>
    <row r="13" spans="1:41" x14ac:dyDescent="0.45">
      <c r="A13" s="1" t="s">
        <v>10</v>
      </c>
      <c r="B13">
        <v>1.3110000000000001E-3</v>
      </c>
      <c r="C13">
        <v>101311</v>
      </c>
      <c r="D13">
        <v>434360</v>
      </c>
    </row>
    <row r="14" spans="1:41" x14ac:dyDescent="0.45">
      <c r="A14" s="1" t="s">
        <v>11</v>
      </c>
      <c r="B14">
        <v>1.3240000000000001E-3</v>
      </c>
      <c r="C14">
        <v>100193</v>
      </c>
      <c r="D14">
        <v>430470</v>
      </c>
    </row>
    <row r="15" spans="1:41" x14ac:dyDescent="0.45">
      <c r="A15" s="1" t="s">
        <v>12</v>
      </c>
      <c r="B15">
        <v>1.237E-3</v>
      </c>
      <c r="C15">
        <v>101096</v>
      </c>
      <c r="D15">
        <v>418687</v>
      </c>
    </row>
    <row r="16" spans="1:41" x14ac:dyDescent="0.45">
      <c r="A16" s="1" t="s">
        <v>13</v>
      </c>
      <c r="B16">
        <v>1.194E-3</v>
      </c>
      <c r="C16">
        <v>100196</v>
      </c>
      <c r="D16">
        <v>443723</v>
      </c>
    </row>
    <row r="17" spans="1:4" x14ac:dyDescent="0.45">
      <c r="A17" s="1" t="s">
        <v>14</v>
      </c>
      <c r="B17">
        <v>1.212E-3</v>
      </c>
      <c r="C17">
        <v>100796</v>
      </c>
      <c r="D17">
        <v>430334</v>
      </c>
    </row>
    <row r="18" spans="1:4" x14ac:dyDescent="0.45">
      <c r="A18" s="1" t="s">
        <v>15</v>
      </c>
      <c r="B18">
        <v>1.2160000000000001E-3</v>
      </c>
      <c r="C18">
        <v>100863</v>
      </c>
      <c r="D18">
        <v>449055</v>
      </c>
    </row>
    <row r="19" spans="1:4" x14ac:dyDescent="0.45">
      <c r="A19" s="1" t="s">
        <v>16</v>
      </c>
      <c r="B19">
        <v>1.242E-3</v>
      </c>
      <c r="C19">
        <v>100300</v>
      </c>
      <c r="D19">
        <v>427153</v>
      </c>
    </row>
    <row r="20" spans="1:4" x14ac:dyDescent="0.45">
      <c r="A20" s="1" t="s">
        <v>17</v>
      </c>
      <c r="B20">
        <v>1.2440000000000001E-3</v>
      </c>
      <c r="C20">
        <v>100826</v>
      </c>
      <c r="D20">
        <v>423926</v>
      </c>
    </row>
    <row r="21" spans="1:4" x14ac:dyDescent="0.45">
      <c r="A21" s="1" t="s">
        <v>18</v>
      </c>
      <c r="B21">
        <v>1.4139999999999999E-3</v>
      </c>
      <c r="C21">
        <v>101999</v>
      </c>
      <c r="D21">
        <v>405345</v>
      </c>
    </row>
    <row r="22" spans="1:4" x14ac:dyDescent="0.45">
      <c r="A22" s="1" t="s">
        <v>19</v>
      </c>
      <c r="B22">
        <v>1.2179999999999999E-3</v>
      </c>
      <c r="C22">
        <v>101873</v>
      </c>
      <c r="D22">
        <v>425056</v>
      </c>
    </row>
    <row r="23" spans="1:4" x14ac:dyDescent="0.45">
      <c r="A23" s="1" t="s">
        <v>20</v>
      </c>
      <c r="B23">
        <v>1.2199999999999999E-3</v>
      </c>
      <c r="C23">
        <v>101269</v>
      </c>
      <c r="D23">
        <v>424843</v>
      </c>
    </row>
    <row r="24" spans="1:4" x14ac:dyDescent="0.45">
      <c r="A24" s="1" t="s">
        <v>21</v>
      </c>
      <c r="B24">
        <v>1.2470000000000001E-3</v>
      </c>
      <c r="C24">
        <v>101135</v>
      </c>
      <c r="D24">
        <v>415797</v>
      </c>
    </row>
    <row r="25" spans="1:4" x14ac:dyDescent="0.45">
      <c r="A25" s="1" t="s">
        <v>22</v>
      </c>
      <c r="B25">
        <v>1.217E-3</v>
      </c>
      <c r="C25">
        <v>101361</v>
      </c>
      <c r="D25">
        <v>427552</v>
      </c>
    </row>
    <row r="26" spans="1:4" x14ac:dyDescent="0.45">
      <c r="A26" s="1" t="s">
        <v>23</v>
      </c>
      <c r="B26">
        <v>1.2639999999999999E-3</v>
      </c>
      <c r="C26">
        <v>101016</v>
      </c>
      <c r="D26">
        <v>415077</v>
      </c>
    </row>
    <row r="27" spans="1:4" x14ac:dyDescent="0.45">
      <c r="A27" s="1" t="s">
        <v>24</v>
      </c>
      <c r="B27">
        <v>1.147E-3</v>
      </c>
      <c r="C27">
        <v>101934</v>
      </c>
      <c r="D27">
        <v>408425</v>
      </c>
    </row>
    <row r="28" spans="1:4" x14ac:dyDescent="0.45">
      <c r="A28" s="1" t="s">
        <v>25</v>
      </c>
      <c r="B28">
        <v>1.163E-3</v>
      </c>
      <c r="C28">
        <v>102638</v>
      </c>
      <c r="D28">
        <v>406528</v>
      </c>
    </row>
    <row r="29" spans="1:4" x14ac:dyDescent="0.45">
      <c r="A29" s="1" t="s">
        <v>26</v>
      </c>
      <c r="B29">
        <v>1.1789999999999999E-3</v>
      </c>
      <c r="C29">
        <v>101910</v>
      </c>
      <c r="D29">
        <v>432374</v>
      </c>
    </row>
    <row r="30" spans="1:4" x14ac:dyDescent="0.45">
      <c r="A30" s="1" t="s">
        <v>27</v>
      </c>
      <c r="B30">
        <v>1.16E-3</v>
      </c>
      <c r="C30">
        <v>100449</v>
      </c>
      <c r="D30">
        <v>431198</v>
      </c>
    </row>
    <row r="31" spans="1:4" x14ac:dyDescent="0.45">
      <c r="A31" s="1" t="s">
        <v>28</v>
      </c>
      <c r="B31">
        <v>1.3699999999999999E-3</v>
      </c>
      <c r="C31">
        <v>101080</v>
      </c>
      <c r="D31">
        <v>427990</v>
      </c>
    </row>
    <row r="32" spans="1:4" x14ac:dyDescent="0.45">
      <c r="A32" s="1" t="s">
        <v>29</v>
      </c>
      <c r="B32">
        <v>1.2310000000000001E-3</v>
      </c>
      <c r="C32">
        <v>99358</v>
      </c>
      <c r="D32">
        <v>434747</v>
      </c>
    </row>
    <row r="33" spans="1:4" x14ac:dyDescent="0.45">
      <c r="A33" s="1" t="s">
        <v>30</v>
      </c>
      <c r="B33">
        <v>1.1900000000000001E-3</v>
      </c>
      <c r="C33">
        <v>101184</v>
      </c>
      <c r="D33">
        <v>419290</v>
      </c>
    </row>
    <row r="34" spans="1:4" x14ac:dyDescent="0.45">
      <c r="A34" s="1" t="s">
        <v>31</v>
      </c>
      <c r="B34">
        <v>1.2459999999999999E-3</v>
      </c>
      <c r="C34">
        <v>101218</v>
      </c>
      <c r="D34">
        <v>419865</v>
      </c>
    </row>
    <row r="35" spans="1:4" x14ac:dyDescent="0.45">
      <c r="A35" s="1" t="s">
        <v>32</v>
      </c>
      <c r="B35">
        <v>1.1789999999999999E-3</v>
      </c>
      <c r="C35">
        <v>100069</v>
      </c>
      <c r="D35">
        <v>433758</v>
      </c>
    </row>
    <row r="36" spans="1:4" x14ac:dyDescent="0.45">
      <c r="A36" s="1" t="s">
        <v>33</v>
      </c>
      <c r="B36">
        <v>1.2160000000000001E-3</v>
      </c>
      <c r="C36">
        <v>102339</v>
      </c>
      <c r="D36">
        <v>405711</v>
      </c>
    </row>
    <row r="37" spans="1:4" x14ac:dyDescent="0.45">
      <c r="A37" s="1" t="s">
        <v>34</v>
      </c>
      <c r="B37">
        <v>1.1820000000000001E-3</v>
      </c>
      <c r="C37">
        <v>101042</v>
      </c>
      <c r="D37">
        <v>416220</v>
      </c>
    </row>
    <row r="38" spans="1:4" x14ac:dyDescent="0.45">
      <c r="A38" s="1" t="s">
        <v>35</v>
      </c>
      <c r="B38">
        <v>1.157E-3</v>
      </c>
      <c r="C38">
        <v>101757</v>
      </c>
      <c r="D38">
        <v>417634</v>
      </c>
    </row>
    <row r="39" spans="1:4" x14ac:dyDescent="0.45">
      <c r="A39" s="1" t="s">
        <v>36</v>
      </c>
      <c r="B39">
        <v>1.219E-3</v>
      </c>
      <c r="C39">
        <v>102409</v>
      </c>
      <c r="D39">
        <v>406403</v>
      </c>
    </row>
    <row r="40" spans="1:4" x14ac:dyDescent="0.45">
      <c r="A40" s="1" t="s">
        <v>37</v>
      </c>
      <c r="B40">
        <v>1.1640000000000001E-3</v>
      </c>
      <c r="C40">
        <v>102373</v>
      </c>
      <c r="D40">
        <v>410550</v>
      </c>
    </row>
    <row r="41" spans="1:4" x14ac:dyDescent="0.45">
      <c r="A41" s="1" t="s">
        <v>38</v>
      </c>
      <c r="B41">
        <v>1.2750000000000001E-3</v>
      </c>
      <c r="C41">
        <v>101795</v>
      </c>
      <c r="D41">
        <v>414148</v>
      </c>
    </row>
    <row r="42" spans="1:4" x14ac:dyDescent="0.45">
      <c r="A42" s="1" t="s">
        <v>39</v>
      </c>
      <c r="B42">
        <v>1.145E-3</v>
      </c>
      <c r="C42">
        <v>101656</v>
      </c>
      <c r="D42">
        <v>416444</v>
      </c>
    </row>
    <row r="43" spans="1:4" x14ac:dyDescent="0.45">
      <c r="A43" s="1" t="s">
        <v>40</v>
      </c>
      <c r="B43">
        <v>1.2340000000000001E-3</v>
      </c>
      <c r="C43">
        <v>101516</v>
      </c>
      <c r="D43">
        <v>410574</v>
      </c>
    </row>
    <row r="44" spans="1:4" x14ac:dyDescent="0.45">
      <c r="A44" s="1" t="s">
        <v>41</v>
      </c>
      <c r="B44">
        <v>1.281E-3</v>
      </c>
      <c r="C44">
        <v>100965</v>
      </c>
      <c r="D44">
        <v>417545</v>
      </c>
    </row>
    <row r="45" spans="1:4" x14ac:dyDescent="0.45">
      <c r="A45" s="1" t="s">
        <v>42</v>
      </c>
      <c r="B45">
        <v>1.32E-3</v>
      </c>
      <c r="C45">
        <v>101801</v>
      </c>
      <c r="D45">
        <v>434895</v>
      </c>
    </row>
    <row r="46" spans="1:4" x14ac:dyDescent="0.45">
      <c r="A46" s="1" t="s">
        <v>43</v>
      </c>
      <c r="B46">
        <v>1.1410000000000001E-3</v>
      </c>
      <c r="C46">
        <v>101906</v>
      </c>
      <c r="D46">
        <v>411572</v>
      </c>
    </row>
    <row r="47" spans="1:4" x14ac:dyDescent="0.45">
      <c r="A47" s="1" t="s">
        <v>44</v>
      </c>
      <c r="B47">
        <v>1.173E-3</v>
      </c>
      <c r="C47">
        <v>101684</v>
      </c>
      <c r="D47">
        <v>417830</v>
      </c>
    </row>
    <row r="48" spans="1:4" x14ac:dyDescent="0.45">
      <c r="A48" s="1" t="s">
        <v>45</v>
      </c>
      <c r="B48">
        <v>1.173E-3</v>
      </c>
      <c r="C48">
        <v>101198</v>
      </c>
      <c r="D48">
        <v>425844</v>
      </c>
    </row>
    <row r="49" spans="1:4" x14ac:dyDescent="0.45">
      <c r="A49" s="1" t="s">
        <v>46</v>
      </c>
      <c r="B49">
        <v>1.1689999999999999E-3</v>
      </c>
      <c r="C49">
        <v>100937</v>
      </c>
      <c r="D49">
        <v>426714</v>
      </c>
    </row>
    <row r="50" spans="1:4" x14ac:dyDescent="0.45">
      <c r="A50" s="1" t="s">
        <v>47</v>
      </c>
      <c r="B50">
        <v>1.1689999999999999E-3</v>
      </c>
      <c r="C50">
        <v>101404</v>
      </c>
      <c r="D50">
        <v>435758</v>
      </c>
    </row>
    <row r="51" spans="1:4" x14ac:dyDescent="0.45">
      <c r="A51" s="1" t="s">
        <v>48</v>
      </c>
      <c r="B51">
        <v>1.3550000000000001E-3</v>
      </c>
      <c r="C51">
        <v>102364</v>
      </c>
      <c r="D51">
        <v>413681</v>
      </c>
    </row>
    <row r="52" spans="1:4" x14ac:dyDescent="0.45">
      <c r="A52" s="1" t="s">
        <v>49</v>
      </c>
      <c r="B52">
        <v>1.248E-3</v>
      </c>
      <c r="C52">
        <v>102853</v>
      </c>
      <c r="D52">
        <v>412573</v>
      </c>
    </row>
    <row r="53" spans="1:4" x14ac:dyDescent="0.45">
      <c r="A53" s="1" t="s">
        <v>50</v>
      </c>
      <c r="B53">
        <v>1.284E-3</v>
      </c>
      <c r="C53">
        <v>99803</v>
      </c>
      <c r="D53">
        <v>420333</v>
      </c>
    </row>
    <row r="54" spans="1:4" x14ac:dyDescent="0.45">
      <c r="A54" s="1" t="s">
        <v>51</v>
      </c>
      <c r="B54">
        <v>1.139E-3</v>
      </c>
      <c r="C54">
        <v>100601</v>
      </c>
      <c r="D54">
        <v>417661</v>
      </c>
    </row>
    <row r="55" spans="1:4" x14ac:dyDescent="0.45">
      <c r="A55" s="1" t="s">
        <v>52</v>
      </c>
      <c r="B55">
        <v>1.176E-3</v>
      </c>
      <c r="C55">
        <v>100679</v>
      </c>
      <c r="D55">
        <v>435300</v>
      </c>
    </row>
    <row r="56" spans="1:4" x14ac:dyDescent="0.45">
      <c r="A56" s="1" t="s">
        <v>53</v>
      </c>
      <c r="B56">
        <v>1.1249999999999999E-3</v>
      </c>
      <c r="C56">
        <v>101864</v>
      </c>
      <c r="D56">
        <v>407571</v>
      </c>
    </row>
    <row r="57" spans="1:4" x14ac:dyDescent="0.45">
      <c r="A57" s="1" t="s">
        <v>54</v>
      </c>
      <c r="B57">
        <v>1.142E-3</v>
      </c>
      <c r="C57">
        <v>100584</v>
      </c>
      <c r="D57">
        <v>424555</v>
      </c>
    </row>
    <row r="58" spans="1:4" x14ac:dyDescent="0.45">
      <c r="A58" s="1" t="s">
        <v>55</v>
      </c>
      <c r="B58">
        <v>1.1540000000000001E-3</v>
      </c>
      <c r="C58">
        <v>102384</v>
      </c>
      <c r="D58">
        <v>422542</v>
      </c>
    </row>
    <row r="59" spans="1:4" x14ac:dyDescent="0.45">
      <c r="A59" s="1" t="s">
        <v>56</v>
      </c>
      <c r="B59">
        <v>1.163E-3</v>
      </c>
      <c r="C59">
        <v>100947</v>
      </c>
      <c r="D59">
        <v>426759</v>
      </c>
    </row>
    <row r="60" spans="1:4" x14ac:dyDescent="0.45">
      <c r="A60" s="1" t="s">
        <v>66</v>
      </c>
      <c r="B60">
        <f>AVERAGE(B10:B59)</f>
        <v>1.2197200000000001E-3</v>
      </c>
      <c r="C60">
        <f>AVERAGE(C10:C59)</f>
        <v>101325.2</v>
      </c>
      <c r="D60">
        <f>AVERAGE(D10:D59)</f>
        <v>421509.42</v>
      </c>
    </row>
    <row r="61" spans="1:4" x14ac:dyDescent="0.45">
      <c r="A61" s="1" t="s">
        <v>67</v>
      </c>
      <c r="B61">
        <f>_xlfn.VAR.S(B10:B59)</f>
        <v>4.2176751020408166E-9</v>
      </c>
      <c r="C61">
        <f>_xlfn.VAR.S(C10:C59)</f>
        <v>589501.67346938781</v>
      </c>
      <c r="D61">
        <f>_xlfn.VAR.S(D10:D59)</f>
        <v>105745879.14653064</v>
      </c>
    </row>
    <row r="62" spans="1:4" x14ac:dyDescent="0.45">
      <c r="A62" s="1" t="s">
        <v>68</v>
      </c>
      <c r="B62">
        <f>MAX(B10:B59)</f>
        <v>1.4139999999999999E-3</v>
      </c>
      <c r="C62">
        <f>MAX(C10:C59)</f>
        <v>102853</v>
      </c>
      <c r="D62">
        <f>MAX(D10:D59)</f>
        <v>449055</v>
      </c>
    </row>
    <row r="63" spans="1:4" x14ac:dyDescent="0.45">
      <c r="A63" s="1" t="s">
        <v>57</v>
      </c>
    </row>
    <row r="64" spans="1:4" x14ac:dyDescent="0.45">
      <c r="A64" s="1" t="s">
        <v>7</v>
      </c>
      <c r="B64">
        <v>1.5351E-2</v>
      </c>
      <c r="C64">
        <v>1238509</v>
      </c>
      <c r="D64">
        <v>5334903</v>
      </c>
    </row>
    <row r="65" spans="1:4" x14ac:dyDescent="0.45">
      <c r="A65" s="1" t="s">
        <v>8</v>
      </c>
      <c r="B65">
        <v>1.4824E-2</v>
      </c>
      <c r="C65">
        <v>1245033</v>
      </c>
      <c r="D65">
        <v>5256894</v>
      </c>
    </row>
    <row r="66" spans="1:4" x14ac:dyDescent="0.45">
      <c r="A66" s="1" t="s">
        <v>9</v>
      </c>
      <c r="B66">
        <v>1.4949E-2</v>
      </c>
      <c r="C66">
        <v>1232409</v>
      </c>
      <c r="D66">
        <v>5274038</v>
      </c>
    </row>
    <row r="67" spans="1:4" x14ac:dyDescent="0.45">
      <c r="A67" s="1" t="s">
        <v>10</v>
      </c>
      <c r="B67">
        <v>1.498E-2</v>
      </c>
      <c r="C67">
        <v>1252172</v>
      </c>
      <c r="D67">
        <v>5199749</v>
      </c>
    </row>
    <row r="68" spans="1:4" x14ac:dyDescent="0.45">
      <c r="A68" s="1" t="s">
        <v>11</v>
      </c>
      <c r="B68">
        <v>1.4678999999999999E-2</v>
      </c>
      <c r="C68">
        <v>1252683</v>
      </c>
      <c r="D68">
        <v>5139283</v>
      </c>
    </row>
    <row r="69" spans="1:4" x14ac:dyDescent="0.45">
      <c r="A69" s="1" t="s">
        <v>12</v>
      </c>
      <c r="B69">
        <v>1.4938E-2</v>
      </c>
      <c r="C69">
        <v>1245244</v>
      </c>
      <c r="D69">
        <v>5266277</v>
      </c>
    </row>
    <row r="70" spans="1:4" x14ac:dyDescent="0.45">
      <c r="A70" s="1" t="s">
        <v>13</v>
      </c>
      <c r="B70">
        <v>1.456E-2</v>
      </c>
      <c r="C70">
        <v>1244508</v>
      </c>
      <c r="D70">
        <v>5241380</v>
      </c>
    </row>
    <row r="71" spans="1:4" x14ac:dyDescent="0.45">
      <c r="A71" s="1" t="s">
        <v>14</v>
      </c>
      <c r="B71">
        <v>1.5377E-2</v>
      </c>
      <c r="C71">
        <v>1241631</v>
      </c>
      <c r="D71">
        <v>5312257</v>
      </c>
    </row>
    <row r="72" spans="1:4" x14ac:dyDescent="0.45">
      <c r="A72" s="1" t="s">
        <v>15</v>
      </c>
      <c r="B72">
        <v>1.4758E-2</v>
      </c>
      <c r="C72">
        <v>1252549</v>
      </c>
      <c r="D72">
        <v>5087881</v>
      </c>
    </row>
    <row r="73" spans="1:4" x14ac:dyDescent="0.45">
      <c r="A73" s="1" t="s">
        <v>16</v>
      </c>
      <c r="B73">
        <v>1.5115E-2</v>
      </c>
      <c r="C73">
        <v>1246523</v>
      </c>
      <c r="D73">
        <v>5211907</v>
      </c>
    </row>
    <row r="74" spans="1:4" x14ac:dyDescent="0.45">
      <c r="A74" s="1" t="s">
        <v>17</v>
      </c>
      <c r="B74">
        <v>1.5115999999999999E-2</v>
      </c>
      <c r="C74">
        <v>1243427</v>
      </c>
      <c r="D74">
        <v>5256887</v>
      </c>
    </row>
    <row r="75" spans="1:4" x14ac:dyDescent="0.45">
      <c r="A75" s="1" t="s">
        <v>18</v>
      </c>
      <c r="B75">
        <v>1.5854E-2</v>
      </c>
      <c r="C75">
        <v>1249395</v>
      </c>
      <c r="D75">
        <v>5277580</v>
      </c>
    </row>
    <row r="76" spans="1:4" x14ac:dyDescent="0.45">
      <c r="A76" s="1" t="s">
        <v>19</v>
      </c>
      <c r="B76">
        <v>1.4857E-2</v>
      </c>
      <c r="C76">
        <v>1248213</v>
      </c>
      <c r="D76">
        <v>5190839</v>
      </c>
    </row>
    <row r="77" spans="1:4" x14ac:dyDescent="0.45">
      <c r="A77" s="1" t="s">
        <v>20</v>
      </c>
      <c r="B77">
        <v>1.5018999999999999E-2</v>
      </c>
      <c r="C77">
        <v>1251740</v>
      </c>
      <c r="D77">
        <v>5166064</v>
      </c>
    </row>
    <row r="78" spans="1:4" x14ac:dyDescent="0.45">
      <c r="A78" s="1" t="s">
        <v>21</v>
      </c>
      <c r="B78">
        <v>1.5499000000000001E-2</v>
      </c>
      <c r="C78">
        <v>1247128</v>
      </c>
      <c r="D78">
        <v>5216244</v>
      </c>
    </row>
    <row r="79" spans="1:4" x14ac:dyDescent="0.45">
      <c r="A79" s="1" t="s">
        <v>22</v>
      </c>
      <c r="B79">
        <v>1.5324000000000001E-2</v>
      </c>
      <c r="C79">
        <v>1249613</v>
      </c>
      <c r="D79">
        <v>5199012</v>
      </c>
    </row>
    <row r="80" spans="1:4" x14ac:dyDescent="0.45">
      <c r="A80" s="1" t="s">
        <v>23</v>
      </c>
      <c r="B80">
        <v>1.4857E-2</v>
      </c>
      <c r="C80">
        <v>1253473</v>
      </c>
      <c r="D80">
        <v>5136541</v>
      </c>
    </row>
    <row r="81" spans="1:4" x14ac:dyDescent="0.45">
      <c r="A81" s="1" t="s">
        <v>24</v>
      </c>
      <c r="B81">
        <v>1.4968E-2</v>
      </c>
      <c r="C81">
        <v>1252670</v>
      </c>
      <c r="D81">
        <v>5214843</v>
      </c>
    </row>
    <row r="82" spans="1:4" x14ac:dyDescent="0.45">
      <c r="A82" s="1" t="s">
        <v>25</v>
      </c>
      <c r="B82">
        <v>1.5056E-2</v>
      </c>
      <c r="C82">
        <v>1247183</v>
      </c>
      <c r="D82">
        <v>5228697</v>
      </c>
    </row>
    <row r="83" spans="1:4" x14ac:dyDescent="0.45">
      <c r="A83" s="1" t="s">
        <v>26</v>
      </c>
      <c r="B83">
        <v>1.5701E-2</v>
      </c>
      <c r="C83">
        <v>1247324</v>
      </c>
      <c r="D83">
        <v>5264790</v>
      </c>
    </row>
    <row r="84" spans="1:4" x14ac:dyDescent="0.45">
      <c r="A84" s="1" t="s">
        <v>27</v>
      </c>
      <c r="B84">
        <v>1.5131E-2</v>
      </c>
      <c r="C84">
        <v>1245826</v>
      </c>
      <c r="D84">
        <v>5243822</v>
      </c>
    </row>
    <row r="85" spans="1:4" x14ac:dyDescent="0.45">
      <c r="A85" s="1" t="s">
        <v>28</v>
      </c>
      <c r="B85">
        <v>1.5186E-2</v>
      </c>
      <c r="C85">
        <v>1251257</v>
      </c>
      <c r="D85">
        <v>5236365</v>
      </c>
    </row>
    <row r="86" spans="1:4" x14ac:dyDescent="0.45">
      <c r="A86" s="1" t="s">
        <v>29</v>
      </c>
      <c r="B86">
        <v>1.4636E-2</v>
      </c>
      <c r="C86">
        <v>1242719</v>
      </c>
      <c r="D86">
        <v>5307067</v>
      </c>
    </row>
    <row r="87" spans="1:4" x14ac:dyDescent="0.45">
      <c r="A87" s="1" t="s">
        <v>30</v>
      </c>
      <c r="B87">
        <v>1.4714E-2</v>
      </c>
      <c r="C87">
        <v>1228188</v>
      </c>
      <c r="D87">
        <v>5420320</v>
      </c>
    </row>
    <row r="88" spans="1:4" x14ac:dyDescent="0.45">
      <c r="A88" s="1" t="s">
        <v>31</v>
      </c>
      <c r="B88">
        <v>1.502E-2</v>
      </c>
      <c r="C88">
        <v>1245488</v>
      </c>
      <c r="D88">
        <v>5291940</v>
      </c>
    </row>
    <row r="89" spans="1:4" x14ac:dyDescent="0.45">
      <c r="A89" s="1" t="s">
        <v>32</v>
      </c>
      <c r="B89">
        <v>1.5833E-2</v>
      </c>
      <c r="C89">
        <v>1242081</v>
      </c>
      <c r="D89">
        <v>5323219</v>
      </c>
    </row>
    <row r="90" spans="1:4" x14ac:dyDescent="0.45">
      <c r="A90" s="1" t="s">
        <v>33</v>
      </c>
      <c r="B90">
        <v>1.5618E-2</v>
      </c>
      <c r="C90">
        <v>1244353</v>
      </c>
      <c r="D90">
        <v>5277573</v>
      </c>
    </row>
    <row r="91" spans="1:4" x14ac:dyDescent="0.45">
      <c r="A91" s="1" t="s">
        <v>34</v>
      </c>
      <c r="B91">
        <v>1.6213000000000002E-2</v>
      </c>
      <c r="C91">
        <v>1241660</v>
      </c>
      <c r="D91">
        <v>5386996</v>
      </c>
    </row>
    <row r="92" spans="1:4" x14ac:dyDescent="0.45">
      <c r="A92" s="1" t="s">
        <v>35</v>
      </c>
      <c r="B92">
        <v>1.6402E-2</v>
      </c>
      <c r="C92">
        <v>1242561</v>
      </c>
      <c r="D92">
        <v>5309475</v>
      </c>
    </row>
    <row r="93" spans="1:4" x14ac:dyDescent="0.45">
      <c r="A93" s="1" t="s">
        <v>36</v>
      </c>
      <c r="B93">
        <v>1.4857E-2</v>
      </c>
      <c r="C93">
        <v>1242999</v>
      </c>
      <c r="D93">
        <v>5271749</v>
      </c>
    </row>
    <row r="94" spans="1:4" x14ac:dyDescent="0.45">
      <c r="A94" s="1" t="s">
        <v>37</v>
      </c>
      <c r="B94">
        <v>1.4401000000000001E-2</v>
      </c>
      <c r="C94">
        <v>1249893</v>
      </c>
      <c r="D94">
        <v>5142370</v>
      </c>
    </row>
    <row r="95" spans="1:4" x14ac:dyDescent="0.45">
      <c r="A95" s="1" t="s">
        <v>38</v>
      </c>
      <c r="B95">
        <v>1.4848999999999999E-2</v>
      </c>
      <c r="C95">
        <v>1234490</v>
      </c>
      <c r="D95">
        <v>5368448</v>
      </c>
    </row>
    <row r="96" spans="1:4" x14ac:dyDescent="0.45">
      <c r="A96" s="1" t="s">
        <v>39</v>
      </c>
      <c r="B96">
        <v>1.5288E-2</v>
      </c>
      <c r="C96">
        <v>1245880</v>
      </c>
      <c r="D96">
        <v>5247737</v>
      </c>
    </row>
    <row r="97" spans="1:4" x14ac:dyDescent="0.45">
      <c r="A97" s="1" t="s">
        <v>40</v>
      </c>
      <c r="B97">
        <v>1.5316E-2</v>
      </c>
      <c r="C97">
        <v>1240612</v>
      </c>
      <c r="D97">
        <v>5524383</v>
      </c>
    </row>
    <row r="98" spans="1:4" x14ac:dyDescent="0.45">
      <c r="A98" s="1" t="s">
        <v>41</v>
      </c>
      <c r="B98">
        <v>1.5578E-2</v>
      </c>
      <c r="C98">
        <v>1243950</v>
      </c>
      <c r="D98">
        <v>5354250</v>
      </c>
    </row>
    <row r="99" spans="1:4" x14ac:dyDescent="0.45">
      <c r="A99" s="1" t="s">
        <v>42</v>
      </c>
      <c r="B99">
        <v>1.5473000000000001E-2</v>
      </c>
      <c r="C99">
        <v>1245984</v>
      </c>
      <c r="D99">
        <v>5277451</v>
      </c>
    </row>
    <row r="100" spans="1:4" x14ac:dyDescent="0.45">
      <c r="A100" s="1" t="s">
        <v>43</v>
      </c>
      <c r="B100">
        <v>1.5325999999999999E-2</v>
      </c>
      <c r="C100">
        <v>1242598</v>
      </c>
      <c r="D100">
        <v>5249982</v>
      </c>
    </row>
    <row r="101" spans="1:4" x14ac:dyDescent="0.45">
      <c r="A101" s="1" t="s">
        <v>44</v>
      </c>
      <c r="B101">
        <v>1.5192000000000001E-2</v>
      </c>
      <c r="C101">
        <v>1247599</v>
      </c>
      <c r="D101">
        <v>5256622</v>
      </c>
    </row>
    <row r="102" spans="1:4" x14ac:dyDescent="0.45">
      <c r="A102" s="1" t="s">
        <v>45</v>
      </c>
      <c r="B102">
        <v>1.5509E-2</v>
      </c>
      <c r="C102">
        <v>1245937</v>
      </c>
      <c r="D102">
        <v>5271577</v>
      </c>
    </row>
    <row r="103" spans="1:4" x14ac:dyDescent="0.45">
      <c r="A103" s="1" t="s">
        <v>46</v>
      </c>
      <c r="B103">
        <v>1.5167E-2</v>
      </c>
      <c r="C103">
        <v>1247754</v>
      </c>
      <c r="D103">
        <v>5237943</v>
      </c>
    </row>
    <row r="104" spans="1:4" x14ac:dyDescent="0.45">
      <c r="A104" s="1" t="s">
        <v>47</v>
      </c>
      <c r="B104">
        <v>1.5117999999999999E-2</v>
      </c>
      <c r="C104">
        <v>1260860</v>
      </c>
      <c r="D104">
        <v>5168833</v>
      </c>
    </row>
    <row r="105" spans="1:4" x14ac:dyDescent="0.45">
      <c r="A105" s="1" t="s">
        <v>48</v>
      </c>
      <c r="B105">
        <v>1.5318E-2</v>
      </c>
      <c r="C105">
        <v>1243577</v>
      </c>
      <c r="D105">
        <v>5289688</v>
      </c>
    </row>
    <row r="106" spans="1:4" x14ac:dyDescent="0.45">
      <c r="A106" s="1" t="s">
        <v>49</v>
      </c>
      <c r="B106">
        <v>1.5283E-2</v>
      </c>
      <c r="C106">
        <v>1250805</v>
      </c>
      <c r="D106">
        <v>5262254</v>
      </c>
    </row>
    <row r="107" spans="1:4" x14ac:dyDescent="0.45">
      <c r="A107" s="1" t="s">
        <v>50</v>
      </c>
      <c r="B107">
        <v>1.5381000000000001E-2</v>
      </c>
      <c r="C107">
        <v>1252313</v>
      </c>
      <c r="D107">
        <v>5340778</v>
      </c>
    </row>
    <row r="108" spans="1:4" x14ac:dyDescent="0.45">
      <c r="A108" s="1" t="s">
        <v>51</v>
      </c>
      <c r="B108">
        <v>1.5285E-2</v>
      </c>
      <c r="C108">
        <v>1248463</v>
      </c>
      <c r="D108">
        <v>5222773</v>
      </c>
    </row>
    <row r="109" spans="1:4" x14ac:dyDescent="0.45">
      <c r="A109" s="1" t="s">
        <v>52</v>
      </c>
      <c r="B109">
        <v>1.5268E-2</v>
      </c>
      <c r="C109">
        <v>1246887</v>
      </c>
      <c r="D109">
        <v>5316023</v>
      </c>
    </row>
    <row r="110" spans="1:4" x14ac:dyDescent="0.45">
      <c r="A110" s="1" t="s">
        <v>53</v>
      </c>
      <c r="B110">
        <v>1.5373E-2</v>
      </c>
      <c r="C110">
        <v>1239640</v>
      </c>
      <c r="D110">
        <v>5429165</v>
      </c>
    </row>
    <row r="111" spans="1:4" x14ac:dyDescent="0.45">
      <c r="A111" s="1" t="s">
        <v>54</v>
      </c>
      <c r="B111">
        <v>1.5398999999999999E-2</v>
      </c>
      <c r="C111">
        <v>1224428</v>
      </c>
      <c r="D111">
        <v>5466893</v>
      </c>
    </row>
    <row r="112" spans="1:4" x14ac:dyDescent="0.45">
      <c r="A112" s="1" t="s">
        <v>55</v>
      </c>
      <c r="B112">
        <v>1.5178000000000001E-2</v>
      </c>
      <c r="C112">
        <v>1248518</v>
      </c>
      <c r="D112">
        <v>5211818</v>
      </c>
    </row>
    <row r="113" spans="1:4" x14ac:dyDescent="0.45">
      <c r="A113" s="1" t="s">
        <v>56</v>
      </c>
      <c r="B113">
        <v>1.5507999999999999E-2</v>
      </c>
      <c r="C113">
        <v>1252780</v>
      </c>
      <c r="D113">
        <v>5194661</v>
      </c>
    </row>
    <row r="114" spans="1:4" x14ac:dyDescent="0.45">
      <c r="A114" s="1" t="s">
        <v>66</v>
      </c>
      <c r="B114">
        <f>AVERAGE(B64:B113)</f>
        <v>1.521204E-2</v>
      </c>
      <c r="C114">
        <f>AVERAGE(C64:C113)</f>
        <v>1245630.54</v>
      </c>
      <c r="D114">
        <f>AVERAGE(D64:D113)</f>
        <v>5267564.82</v>
      </c>
    </row>
    <row r="115" spans="1:4" x14ac:dyDescent="0.45">
      <c r="A115" s="1" t="s">
        <v>67</v>
      </c>
      <c r="B115">
        <f>_xlfn.VAR.S(B64:B113)</f>
        <v>1.5286808000000002E-7</v>
      </c>
      <c r="C115">
        <f>_xlfn.VAR.S(C64:C113)</f>
        <v>41284476.008571431</v>
      </c>
      <c r="D115">
        <f>_xlfn.VAR.S(D64:D113)</f>
        <v>7156350960.8036737</v>
      </c>
    </row>
    <row r="116" spans="1:4" x14ac:dyDescent="0.45">
      <c r="A116" s="1" t="s">
        <v>68</v>
      </c>
      <c r="B116">
        <f>MAX(B64:B113)</f>
        <v>1.6402E-2</v>
      </c>
      <c r="C116">
        <f>MAX(C64:C113)</f>
        <v>1260860</v>
      </c>
      <c r="D116">
        <f>MAX(D64:D113)</f>
        <v>5524383</v>
      </c>
    </row>
    <row r="117" spans="1:4" x14ac:dyDescent="0.45">
      <c r="A117" s="1" t="s">
        <v>58</v>
      </c>
    </row>
    <row r="118" spans="1:4" x14ac:dyDescent="0.45">
      <c r="A118" s="1" t="s">
        <v>7</v>
      </c>
      <c r="B118">
        <v>0.18248</v>
      </c>
      <c r="C118">
        <v>14803818</v>
      </c>
      <c r="D118">
        <v>62748570</v>
      </c>
    </row>
    <row r="119" spans="1:4" x14ac:dyDescent="0.45">
      <c r="A119" s="1" t="s">
        <v>8</v>
      </c>
      <c r="B119">
        <v>0.182087</v>
      </c>
      <c r="C119">
        <v>14749794</v>
      </c>
      <c r="D119">
        <v>64092364</v>
      </c>
    </row>
    <row r="120" spans="1:4" x14ac:dyDescent="0.45">
      <c r="A120" s="1" t="s">
        <v>9</v>
      </c>
      <c r="B120">
        <v>0.185837</v>
      </c>
      <c r="C120">
        <v>14656063</v>
      </c>
      <c r="D120">
        <v>64323603</v>
      </c>
    </row>
    <row r="121" spans="1:4" x14ac:dyDescent="0.45">
      <c r="A121" s="1" t="s">
        <v>10</v>
      </c>
      <c r="B121">
        <v>0.18360899999999999</v>
      </c>
      <c r="C121">
        <v>14558237</v>
      </c>
      <c r="D121">
        <v>64714315</v>
      </c>
    </row>
    <row r="122" spans="1:4" x14ac:dyDescent="0.45">
      <c r="A122" s="1" t="s">
        <v>11</v>
      </c>
      <c r="B122">
        <v>0.181426</v>
      </c>
      <c r="C122">
        <v>14754991</v>
      </c>
      <c r="D122">
        <v>63084854</v>
      </c>
    </row>
    <row r="123" spans="1:4" x14ac:dyDescent="0.45">
      <c r="A123" s="1" t="s">
        <v>12</v>
      </c>
      <c r="B123">
        <v>0.18390500000000001</v>
      </c>
      <c r="C123">
        <v>14806363</v>
      </c>
      <c r="D123">
        <v>63169707</v>
      </c>
    </row>
    <row r="124" spans="1:4" x14ac:dyDescent="0.45">
      <c r="A124" s="1" t="s">
        <v>13</v>
      </c>
      <c r="B124">
        <v>0.181564</v>
      </c>
      <c r="C124">
        <v>14740304</v>
      </c>
      <c r="D124">
        <v>64347058</v>
      </c>
    </row>
    <row r="125" spans="1:4" x14ac:dyDescent="0.45">
      <c r="A125" s="1" t="s">
        <v>14</v>
      </c>
      <c r="B125">
        <v>0.182391</v>
      </c>
      <c r="C125">
        <v>14779399</v>
      </c>
      <c r="D125">
        <v>63760638</v>
      </c>
    </row>
    <row r="126" spans="1:4" x14ac:dyDescent="0.45">
      <c r="A126" s="1" t="s">
        <v>15</v>
      </c>
      <c r="B126">
        <v>0.18062300000000001</v>
      </c>
      <c r="C126">
        <v>14803836</v>
      </c>
      <c r="D126">
        <v>62232080</v>
      </c>
    </row>
    <row r="127" spans="1:4" x14ac:dyDescent="0.45">
      <c r="A127" s="1" t="s">
        <v>16</v>
      </c>
      <c r="B127">
        <v>0.183447</v>
      </c>
      <c r="C127">
        <v>14704570</v>
      </c>
      <c r="D127">
        <v>64206570</v>
      </c>
    </row>
    <row r="128" spans="1:4" x14ac:dyDescent="0.45">
      <c r="A128" s="1" t="s">
        <v>17</v>
      </c>
      <c r="B128">
        <v>0.18234800000000001</v>
      </c>
      <c r="C128">
        <v>14781362</v>
      </c>
      <c r="D128">
        <v>63401262</v>
      </c>
    </row>
    <row r="129" spans="1:4" x14ac:dyDescent="0.45">
      <c r="A129" s="1" t="s">
        <v>18</v>
      </c>
      <c r="B129">
        <v>0.18392800000000001</v>
      </c>
      <c r="C129">
        <v>14560608</v>
      </c>
      <c r="D129">
        <v>65862757</v>
      </c>
    </row>
    <row r="130" spans="1:4" x14ac:dyDescent="0.45">
      <c r="A130" s="1" t="s">
        <v>19</v>
      </c>
      <c r="B130">
        <v>0.182114</v>
      </c>
      <c r="C130">
        <v>14702030</v>
      </c>
      <c r="D130">
        <v>63284065</v>
      </c>
    </row>
    <row r="131" spans="1:4" x14ac:dyDescent="0.45">
      <c r="A131" s="1" t="s">
        <v>20</v>
      </c>
      <c r="B131">
        <v>0.17572299999999999</v>
      </c>
      <c r="C131">
        <v>14750703</v>
      </c>
      <c r="D131">
        <v>63801010</v>
      </c>
    </row>
    <row r="132" spans="1:4" x14ac:dyDescent="0.45">
      <c r="A132" s="1" t="s">
        <v>21</v>
      </c>
      <c r="B132">
        <v>0.180252</v>
      </c>
      <c r="C132">
        <v>14731253</v>
      </c>
      <c r="D132">
        <v>63204733</v>
      </c>
    </row>
    <row r="133" spans="1:4" x14ac:dyDescent="0.45">
      <c r="A133" s="1" t="s">
        <v>22</v>
      </c>
      <c r="B133">
        <v>0.176481</v>
      </c>
      <c r="C133">
        <v>14793591</v>
      </c>
      <c r="D133">
        <v>63254342</v>
      </c>
    </row>
    <row r="134" spans="1:4" x14ac:dyDescent="0.45">
      <c r="A134" s="1" t="s">
        <v>23</v>
      </c>
      <c r="B134">
        <v>0.18201800000000001</v>
      </c>
      <c r="C134">
        <v>14712142</v>
      </c>
      <c r="D134">
        <v>63893562</v>
      </c>
    </row>
    <row r="135" spans="1:4" x14ac:dyDescent="0.45">
      <c r="A135" s="1" t="s">
        <v>24</v>
      </c>
      <c r="B135">
        <v>0.18024899999999999</v>
      </c>
      <c r="C135">
        <v>14624917</v>
      </c>
      <c r="D135">
        <v>64669407</v>
      </c>
    </row>
    <row r="136" spans="1:4" x14ac:dyDescent="0.45">
      <c r="A136" s="1" t="s">
        <v>25</v>
      </c>
      <c r="B136">
        <v>0.182391</v>
      </c>
      <c r="C136">
        <v>14791942</v>
      </c>
      <c r="D136">
        <v>63100659</v>
      </c>
    </row>
    <row r="137" spans="1:4" x14ac:dyDescent="0.45">
      <c r="A137" s="1" t="s">
        <v>26</v>
      </c>
      <c r="B137">
        <v>0.185895</v>
      </c>
      <c r="C137">
        <v>14638991</v>
      </c>
      <c r="D137">
        <v>63820942</v>
      </c>
    </row>
    <row r="138" spans="1:4" x14ac:dyDescent="0.45">
      <c r="A138" s="1" t="s">
        <v>27</v>
      </c>
      <c r="B138">
        <v>0.18385899999999999</v>
      </c>
      <c r="C138">
        <v>14786442</v>
      </c>
      <c r="D138">
        <v>62576167</v>
      </c>
    </row>
    <row r="139" spans="1:4" x14ac:dyDescent="0.45">
      <c r="A139" s="1" t="s">
        <v>28</v>
      </c>
      <c r="B139">
        <v>0.182703</v>
      </c>
      <c r="C139">
        <v>14706134</v>
      </c>
      <c r="D139">
        <v>62888096</v>
      </c>
    </row>
    <row r="140" spans="1:4" x14ac:dyDescent="0.45">
      <c r="A140" s="1" t="s">
        <v>29</v>
      </c>
      <c r="B140">
        <v>0.18365999999999999</v>
      </c>
      <c r="C140">
        <v>14781275</v>
      </c>
      <c r="D140">
        <v>62574331</v>
      </c>
    </row>
    <row r="141" spans="1:4" x14ac:dyDescent="0.45">
      <c r="A141" s="1" t="s">
        <v>30</v>
      </c>
      <c r="B141">
        <v>0.18684500000000001</v>
      </c>
      <c r="C141">
        <v>14707811</v>
      </c>
      <c r="D141">
        <v>64157031</v>
      </c>
    </row>
    <row r="142" spans="1:4" x14ac:dyDescent="0.45">
      <c r="A142" s="1" t="s">
        <v>31</v>
      </c>
      <c r="B142">
        <v>0.191881</v>
      </c>
      <c r="C142">
        <v>14779274</v>
      </c>
      <c r="D142">
        <v>65233680</v>
      </c>
    </row>
    <row r="143" spans="1:4" x14ac:dyDescent="0.45">
      <c r="A143" s="1" t="s">
        <v>32</v>
      </c>
      <c r="B143">
        <v>0.18007799999999999</v>
      </c>
      <c r="C143">
        <v>14822984</v>
      </c>
      <c r="D143">
        <v>62466276</v>
      </c>
    </row>
    <row r="144" spans="1:4" x14ac:dyDescent="0.45">
      <c r="A144" s="1" t="s">
        <v>33</v>
      </c>
      <c r="B144">
        <v>0.179539</v>
      </c>
      <c r="C144">
        <v>14659428</v>
      </c>
      <c r="D144">
        <v>63313763</v>
      </c>
    </row>
    <row r="145" spans="1:4" x14ac:dyDescent="0.45">
      <c r="A145" s="1" t="s">
        <v>34</v>
      </c>
      <c r="B145">
        <v>0.180755</v>
      </c>
      <c r="C145">
        <v>14763400</v>
      </c>
      <c r="D145">
        <v>62647712</v>
      </c>
    </row>
    <row r="146" spans="1:4" x14ac:dyDescent="0.45">
      <c r="A146" s="1" t="s">
        <v>35</v>
      </c>
      <c r="B146">
        <v>0.181057</v>
      </c>
      <c r="C146">
        <v>14827360</v>
      </c>
      <c r="D146">
        <v>63626665</v>
      </c>
    </row>
    <row r="147" spans="1:4" x14ac:dyDescent="0.45">
      <c r="A147" s="1" t="s">
        <v>36</v>
      </c>
      <c r="B147">
        <v>0.183647</v>
      </c>
      <c r="C147">
        <v>14688054</v>
      </c>
      <c r="D147">
        <v>63894622</v>
      </c>
    </row>
    <row r="148" spans="1:4" x14ac:dyDescent="0.45">
      <c r="A148" s="1" t="s">
        <v>37</v>
      </c>
      <c r="B148">
        <v>0.185086</v>
      </c>
      <c r="C148">
        <v>14810847</v>
      </c>
      <c r="D148">
        <v>63053863</v>
      </c>
    </row>
    <row r="149" spans="1:4" x14ac:dyDescent="0.45">
      <c r="A149" s="1" t="s">
        <v>38</v>
      </c>
      <c r="B149">
        <v>0.18945200000000001</v>
      </c>
      <c r="C149">
        <v>14709420</v>
      </c>
      <c r="D149">
        <v>63751239</v>
      </c>
    </row>
    <row r="150" spans="1:4" x14ac:dyDescent="0.45">
      <c r="A150" s="1" t="s">
        <v>39</v>
      </c>
      <c r="B150">
        <v>0.18079899999999999</v>
      </c>
      <c r="C150">
        <v>14670210</v>
      </c>
      <c r="D150">
        <v>64622292</v>
      </c>
    </row>
    <row r="151" spans="1:4" x14ac:dyDescent="0.45">
      <c r="A151" s="1" t="s">
        <v>40</v>
      </c>
      <c r="B151">
        <v>0.17837700000000001</v>
      </c>
      <c r="C151">
        <v>14817629</v>
      </c>
      <c r="D151">
        <v>63086313</v>
      </c>
    </row>
    <row r="152" spans="1:4" x14ac:dyDescent="0.45">
      <c r="A152" s="1" t="s">
        <v>41</v>
      </c>
      <c r="B152">
        <v>0.183809</v>
      </c>
      <c r="C152">
        <v>14624823</v>
      </c>
      <c r="D152">
        <v>65063060</v>
      </c>
    </row>
    <row r="153" spans="1:4" x14ac:dyDescent="0.45">
      <c r="A153" s="1" t="s">
        <v>42</v>
      </c>
      <c r="B153">
        <v>0.18171899999999999</v>
      </c>
      <c r="C153">
        <v>14699773</v>
      </c>
      <c r="D153">
        <v>65092395</v>
      </c>
    </row>
    <row r="154" spans="1:4" x14ac:dyDescent="0.45">
      <c r="A154" s="1" t="s">
        <v>43</v>
      </c>
      <c r="B154">
        <v>0.17791899999999999</v>
      </c>
      <c r="C154">
        <v>14797722</v>
      </c>
      <c r="D154">
        <v>62745289</v>
      </c>
    </row>
    <row r="155" spans="1:4" x14ac:dyDescent="0.45">
      <c r="A155" s="1" t="s">
        <v>44</v>
      </c>
      <c r="B155">
        <v>0.17865800000000001</v>
      </c>
      <c r="C155">
        <v>14643399</v>
      </c>
      <c r="D155">
        <v>64734543</v>
      </c>
    </row>
    <row r="156" spans="1:4" x14ac:dyDescent="0.45">
      <c r="A156" s="1" t="s">
        <v>45</v>
      </c>
      <c r="B156">
        <v>0.18146100000000001</v>
      </c>
      <c r="C156">
        <v>14570814</v>
      </c>
      <c r="D156">
        <v>65334814</v>
      </c>
    </row>
    <row r="157" spans="1:4" x14ac:dyDescent="0.45">
      <c r="A157" s="1" t="s">
        <v>46</v>
      </c>
      <c r="B157">
        <v>0.18229200000000001</v>
      </c>
      <c r="C157">
        <v>14807008</v>
      </c>
      <c r="D157">
        <v>62728225</v>
      </c>
    </row>
    <row r="158" spans="1:4" x14ac:dyDescent="0.45">
      <c r="A158" s="1" t="s">
        <v>47</v>
      </c>
      <c r="B158">
        <v>0.17752899999999999</v>
      </c>
      <c r="C158">
        <v>14692842</v>
      </c>
      <c r="D158">
        <v>63043080</v>
      </c>
    </row>
    <row r="159" spans="1:4" x14ac:dyDescent="0.45">
      <c r="A159" s="1" t="s">
        <v>48</v>
      </c>
      <c r="B159">
        <v>0.17253299999999999</v>
      </c>
      <c r="C159">
        <v>14651604</v>
      </c>
      <c r="D159">
        <v>64569188</v>
      </c>
    </row>
    <row r="160" spans="1:4" x14ac:dyDescent="0.45">
      <c r="A160" s="1" t="s">
        <v>49</v>
      </c>
      <c r="B160">
        <v>0.17549600000000001</v>
      </c>
      <c r="C160">
        <v>14695636</v>
      </c>
      <c r="D160">
        <v>64921767</v>
      </c>
    </row>
    <row r="161" spans="1:4" x14ac:dyDescent="0.45">
      <c r="A161" s="1" t="s">
        <v>50</v>
      </c>
      <c r="B161">
        <v>0.17990300000000001</v>
      </c>
      <c r="C161">
        <v>14690434</v>
      </c>
      <c r="D161">
        <v>63253148</v>
      </c>
    </row>
    <row r="162" spans="1:4" x14ac:dyDescent="0.45">
      <c r="A162" s="1" t="s">
        <v>51</v>
      </c>
      <c r="B162">
        <v>0.17849100000000001</v>
      </c>
      <c r="C162">
        <v>14781626</v>
      </c>
      <c r="D162">
        <v>62645153</v>
      </c>
    </row>
    <row r="163" spans="1:4" x14ac:dyDescent="0.45">
      <c r="A163" s="1" t="s">
        <v>52</v>
      </c>
      <c r="B163">
        <v>0.18604100000000001</v>
      </c>
      <c r="C163">
        <v>14675053</v>
      </c>
      <c r="D163">
        <v>65330039</v>
      </c>
    </row>
    <row r="164" spans="1:4" x14ac:dyDescent="0.45">
      <c r="A164" s="1" t="s">
        <v>53</v>
      </c>
      <c r="B164">
        <v>0.18620400000000001</v>
      </c>
      <c r="C164">
        <v>14740287</v>
      </c>
      <c r="D164">
        <v>63462866</v>
      </c>
    </row>
    <row r="165" spans="1:4" x14ac:dyDescent="0.45">
      <c r="A165" s="1" t="s">
        <v>54</v>
      </c>
      <c r="B165">
        <v>0.184306</v>
      </c>
      <c r="C165">
        <v>14846077</v>
      </c>
      <c r="D165">
        <v>62930538</v>
      </c>
    </row>
    <row r="166" spans="1:4" x14ac:dyDescent="0.45">
      <c r="A166" s="1" t="s">
        <v>55</v>
      </c>
      <c r="B166">
        <v>0.17711499999999999</v>
      </c>
      <c r="C166">
        <v>14829734</v>
      </c>
      <c r="D166">
        <v>62338557</v>
      </c>
    </row>
    <row r="167" spans="1:4" x14ac:dyDescent="0.45">
      <c r="A167" s="1" t="s">
        <v>56</v>
      </c>
      <c r="B167">
        <v>0.17729900000000001</v>
      </c>
      <c r="C167">
        <v>14753555</v>
      </c>
      <c r="D167">
        <v>62725751</v>
      </c>
    </row>
    <row r="168" spans="1:4" x14ac:dyDescent="0.45">
      <c r="A168" s="1" t="s">
        <v>66</v>
      </c>
      <c r="B168">
        <f>AVERAGE(B118:B167)</f>
        <v>0.18174561999999997</v>
      </c>
      <c r="C168">
        <f>AVERAGE(C118:C167)</f>
        <v>14729511.380000001</v>
      </c>
      <c r="D168">
        <f>AVERAGE(D118:D167)</f>
        <v>63675659.219999999</v>
      </c>
    </row>
    <row r="169" spans="1:4" x14ac:dyDescent="0.45">
      <c r="A169" s="1" t="s">
        <v>67</v>
      </c>
      <c r="B169">
        <f>_xlfn.VAR.S(B118:B167)</f>
        <v>1.2766608689387765E-5</v>
      </c>
      <c r="C169">
        <f>_xlfn.VAR.S(C118:C167)</f>
        <v>5404845076.2812271</v>
      </c>
      <c r="D169">
        <f>_xlfn.VAR.S(D118:D167)</f>
        <v>865319591127.39954</v>
      </c>
    </row>
    <row r="170" spans="1:4" x14ac:dyDescent="0.45">
      <c r="A170" s="1" t="s">
        <v>68</v>
      </c>
      <c r="B170">
        <f>MAX(B118:B167)</f>
        <v>0.191881</v>
      </c>
      <c r="C170">
        <f>MAX(C118:C167)</f>
        <v>14846077</v>
      </c>
      <c r="D170">
        <f>MAX(D118:D167)</f>
        <v>65862757</v>
      </c>
    </row>
    <row r="171" spans="1:4" x14ac:dyDescent="0.45">
      <c r="A171" s="1" t="s">
        <v>59</v>
      </c>
    </row>
    <row r="172" spans="1:4" x14ac:dyDescent="0.45">
      <c r="A172" s="1" t="s">
        <v>7</v>
      </c>
      <c r="B172">
        <v>2.0758670000000001</v>
      </c>
      <c r="C172">
        <v>169927738</v>
      </c>
      <c r="D172">
        <v>744233434</v>
      </c>
    </row>
    <row r="173" spans="1:4" x14ac:dyDescent="0.45">
      <c r="A173" s="1" t="s">
        <v>8</v>
      </c>
      <c r="B173">
        <v>2.1156540000000001</v>
      </c>
      <c r="C173">
        <v>170162380</v>
      </c>
      <c r="D173">
        <v>746865739</v>
      </c>
    </row>
    <row r="174" spans="1:4" x14ac:dyDescent="0.45">
      <c r="A174" s="1" t="s">
        <v>9</v>
      </c>
      <c r="B174">
        <v>2.0793720000000002</v>
      </c>
      <c r="C174">
        <v>170333351</v>
      </c>
      <c r="D174">
        <v>744883352</v>
      </c>
    </row>
    <row r="175" spans="1:4" x14ac:dyDescent="0.45">
      <c r="A175" s="1" t="s">
        <v>10</v>
      </c>
      <c r="B175">
        <v>2.0942699999999999</v>
      </c>
      <c r="C175">
        <v>169389914</v>
      </c>
      <c r="D175">
        <v>781120212</v>
      </c>
    </row>
    <row r="176" spans="1:4" x14ac:dyDescent="0.45">
      <c r="A176" s="1" t="s">
        <v>11</v>
      </c>
      <c r="B176">
        <v>2.0239289999999999</v>
      </c>
      <c r="C176">
        <v>170957236</v>
      </c>
      <c r="D176">
        <v>733359926</v>
      </c>
    </row>
    <row r="177" spans="1:4" x14ac:dyDescent="0.45">
      <c r="A177" s="1" t="s">
        <v>12</v>
      </c>
      <c r="B177">
        <v>2.0083479999999998</v>
      </c>
      <c r="C177">
        <v>171057585</v>
      </c>
      <c r="D177">
        <v>741429950</v>
      </c>
    </row>
    <row r="178" spans="1:4" x14ac:dyDescent="0.45">
      <c r="A178" s="1" t="s">
        <v>13</v>
      </c>
      <c r="B178">
        <v>2.018221</v>
      </c>
      <c r="C178">
        <v>170280885</v>
      </c>
      <c r="D178">
        <v>748127804</v>
      </c>
    </row>
    <row r="179" spans="1:4" x14ac:dyDescent="0.45">
      <c r="A179" s="1" t="s">
        <v>14</v>
      </c>
      <c r="B179">
        <v>2.0002909999999998</v>
      </c>
      <c r="C179">
        <v>170602598</v>
      </c>
      <c r="D179">
        <v>738970584</v>
      </c>
    </row>
    <row r="180" spans="1:4" x14ac:dyDescent="0.45">
      <c r="A180" s="1" t="s">
        <v>15</v>
      </c>
      <c r="B180">
        <v>2.0190109999999999</v>
      </c>
      <c r="C180">
        <v>170787273</v>
      </c>
      <c r="D180">
        <v>737665848</v>
      </c>
    </row>
    <row r="181" spans="1:4" x14ac:dyDescent="0.45">
      <c r="A181" s="1" t="s">
        <v>16</v>
      </c>
      <c r="B181">
        <v>2.0483340000000001</v>
      </c>
      <c r="C181">
        <v>167897854</v>
      </c>
      <c r="D181">
        <v>770605013</v>
      </c>
    </row>
    <row r="182" spans="1:4" x14ac:dyDescent="0.45">
      <c r="A182" s="1" t="s">
        <v>17</v>
      </c>
      <c r="B182">
        <v>2.0044209999999998</v>
      </c>
      <c r="C182">
        <v>171042858</v>
      </c>
      <c r="D182">
        <v>729712423</v>
      </c>
    </row>
    <row r="183" spans="1:4" x14ac:dyDescent="0.45">
      <c r="A183" s="1" t="s">
        <v>18</v>
      </c>
      <c r="B183">
        <v>2.0240589999999998</v>
      </c>
      <c r="C183">
        <v>169778907</v>
      </c>
      <c r="D183">
        <v>750018496</v>
      </c>
    </row>
    <row r="184" spans="1:4" x14ac:dyDescent="0.45">
      <c r="A184" s="1" t="s">
        <v>19</v>
      </c>
      <c r="B184">
        <v>2.0039729999999998</v>
      </c>
      <c r="C184">
        <v>170902587</v>
      </c>
      <c r="D184">
        <v>741116045</v>
      </c>
    </row>
    <row r="185" spans="1:4" x14ac:dyDescent="0.45">
      <c r="A185" s="1" t="s">
        <v>20</v>
      </c>
      <c r="B185">
        <v>2.0078399999999998</v>
      </c>
      <c r="C185">
        <v>170844290</v>
      </c>
      <c r="D185">
        <v>734498227</v>
      </c>
    </row>
    <row r="186" spans="1:4" x14ac:dyDescent="0.45">
      <c r="A186" s="1" t="s">
        <v>21</v>
      </c>
      <c r="B186">
        <v>2.0108640000000002</v>
      </c>
      <c r="C186">
        <v>169666776</v>
      </c>
      <c r="D186">
        <v>755385486</v>
      </c>
    </row>
    <row r="187" spans="1:4" x14ac:dyDescent="0.45">
      <c r="A187" s="1" t="s">
        <v>22</v>
      </c>
      <c r="B187">
        <v>2.0223420000000001</v>
      </c>
      <c r="C187">
        <v>170686258</v>
      </c>
      <c r="D187">
        <v>739051738</v>
      </c>
    </row>
    <row r="188" spans="1:4" x14ac:dyDescent="0.45">
      <c r="A188" s="1" t="s">
        <v>23</v>
      </c>
      <c r="B188">
        <v>2.0291160000000001</v>
      </c>
      <c r="C188">
        <v>170578666</v>
      </c>
      <c r="D188">
        <v>740958156</v>
      </c>
    </row>
    <row r="189" spans="1:4" x14ac:dyDescent="0.45">
      <c r="A189" s="1" t="s">
        <v>24</v>
      </c>
      <c r="B189">
        <v>2.0117229999999999</v>
      </c>
      <c r="C189">
        <v>171175413</v>
      </c>
      <c r="D189">
        <v>738496597</v>
      </c>
    </row>
    <row r="190" spans="1:4" x14ac:dyDescent="0.45">
      <c r="A190" s="1" t="s">
        <v>25</v>
      </c>
      <c r="B190">
        <v>2.0192199999999998</v>
      </c>
      <c r="C190">
        <v>170676735</v>
      </c>
      <c r="D190">
        <v>739737155</v>
      </c>
    </row>
    <row r="191" spans="1:4" x14ac:dyDescent="0.45">
      <c r="A191" s="1" t="s">
        <v>26</v>
      </c>
      <c r="B191">
        <v>1.98932</v>
      </c>
      <c r="C191">
        <v>171106422</v>
      </c>
      <c r="D191">
        <v>731154923</v>
      </c>
    </row>
    <row r="192" spans="1:4" x14ac:dyDescent="0.45">
      <c r="A192" s="1" t="s">
        <v>27</v>
      </c>
      <c r="B192">
        <v>2.0305819999999999</v>
      </c>
      <c r="C192">
        <v>170356184</v>
      </c>
      <c r="D192">
        <v>748894586</v>
      </c>
    </row>
    <row r="193" spans="1:4" x14ac:dyDescent="0.45">
      <c r="A193" s="1" t="s">
        <v>28</v>
      </c>
      <c r="B193">
        <v>2.047533</v>
      </c>
      <c r="C193">
        <v>170202998</v>
      </c>
      <c r="D193">
        <v>753370482</v>
      </c>
    </row>
    <row r="194" spans="1:4" x14ac:dyDescent="0.45">
      <c r="A194" s="1" t="s">
        <v>29</v>
      </c>
      <c r="B194">
        <v>2.0162399999999998</v>
      </c>
      <c r="C194">
        <v>171059211</v>
      </c>
      <c r="D194">
        <v>728781927</v>
      </c>
    </row>
    <row r="195" spans="1:4" x14ac:dyDescent="0.45">
      <c r="A195" s="1" t="s">
        <v>30</v>
      </c>
      <c r="B195">
        <v>2.0246840000000002</v>
      </c>
      <c r="C195">
        <v>170153304</v>
      </c>
      <c r="D195">
        <v>742532597</v>
      </c>
    </row>
    <row r="196" spans="1:4" x14ac:dyDescent="0.45">
      <c r="A196" s="1" t="s">
        <v>31</v>
      </c>
      <c r="B196">
        <v>2.009236</v>
      </c>
      <c r="C196">
        <v>169134932</v>
      </c>
      <c r="D196">
        <v>748539235</v>
      </c>
    </row>
    <row r="197" spans="1:4" x14ac:dyDescent="0.45">
      <c r="A197" s="1" t="s">
        <v>32</v>
      </c>
      <c r="B197">
        <v>2.0203190000000002</v>
      </c>
      <c r="C197">
        <v>171529630</v>
      </c>
      <c r="D197">
        <v>732542852</v>
      </c>
    </row>
    <row r="198" spans="1:4" x14ac:dyDescent="0.45">
      <c r="A198" s="1" t="s">
        <v>33</v>
      </c>
      <c r="B198">
        <v>2.0223900000000001</v>
      </c>
      <c r="C198">
        <v>170681208</v>
      </c>
      <c r="D198">
        <v>738160715</v>
      </c>
    </row>
    <row r="199" spans="1:4" x14ac:dyDescent="0.45">
      <c r="A199" s="1" t="s">
        <v>34</v>
      </c>
      <c r="B199">
        <v>2.017061</v>
      </c>
      <c r="C199">
        <v>171341405</v>
      </c>
      <c r="D199">
        <v>727793688</v>
      </c>
    </row>
    <row r="200" spans="1:4" x14ac:dyDescent="0.45">
      <c r="A200" s="1" t="s">
        <v>35</v>
      </c>
      <c r="B200">
        <v>2.0300280000000002</v>
      </c>
      <c r="C200">
        <v>170960481</v>
      </c>
      <c r="D200">
        <v>735947031</v>
      </c>
    </row>
    <row r="201" spans="1:4" x14ac:dyDescent="0.45">
      <c r="A201" s="1" t="s">
        <v>36</v>
      </c>
      <c r="B201">
        <v>2.0322079999999998</v>
      </c>
      <c r="C201">
        <v>171666608</v>
      </c>
      <c r="D201">
        <v>740782934</v>
      </c>
    </row>
    <row r="202" spans="1:4" x14ac:dyDescent="0.45">
      <c r="A202" s="1" t="s">
        <v>37</v>
      </c>
      <c r="B202">
        <v>2.0122420000000001</v>
      </c>
      <c r="C202">
        <v>171055607</v>
      </c>
      <c r="D202">
        <v>732897295</v>
      </c>
    </row>
    <row r="203" spans="1:4" x14ac:dyDescent="0.45">
      <c r="A203" s="1" t="s">
        <v>38</v>
      </c>
      <c r="B203">
        <v>2.0082330000000002</v>
      </c>
      <c r="C203">
        <v>170005753</v>
      </c>
      <c r="D203">
        <v>746997015</v>
      </c>
    </row>
    <row r="204" spans="1:4" x14ac:dyDescent="0.45">
      <c r="A204" s="1" t="s">
        <v>39</v>
      </c>
      <c r="B204">
        <v>2.0193050000000001</v>
      </c>
      <c r="C204">
        <v>171268998</v>
      </c>
      <c r="D204">
        <v>730404358</v>
      </c>
    </row>
    <row r="205" spans="1:4" x14ac:dyDescent="0.45">
      <c r="A205" s="1" t="s">
        <v>40</v>
      </c>
      <c r="B205">
        <v>2.023037</v>
      </c>
      <c r="C205">
        <v>169332305</v>
      </c>
      <c r="D205">
        <v>753411729</v>
      </c>
    </row>
    <row r="206" spans="1:4" x14ac:dyDescent="0.45">
      <c r="A206" s="1" t="s">
        <v>41</v>
      </c>
      <c r="B206">
        <v>2.0168059999999999</v>
      </c>
      <c r="C206">
        <v>169851563</v>
      </c>
      <c r="D206">
        <v>741839512</v>
      </c>
    </row>
    <row r="207" spans="1:4" x14ac:dyDescent="0.45">
      <c r="A207" s="1" t="s">
        <v>42</v>
      </c>
      <c r="B207">
        <v>2.048143</v>
      </c>
      <c r="C207">
        <v>170819573</v>
      </c>
      <c r="D207">
        <v>739333164</v>
      </c>
    </row>
    <row r="208" spans="1:4" x14ac:dyDescent="0.45">
      <c r="A208" s="1" t="s">
        <v>43</v>
      </c>
      <c r="B208">
        <v>2.0242170000000002</v>
      </c>
      <c r="C208">
        <v>170576039</v>
      </c>
      <c r="D208">
        <v>734252468</v>
      </c>
    </row>
    <row r="209" spans="1:4" x14ac:dyDescent="0.45">
      <c r="A209" s="1" t="s">
        <v>44</v>
      </c>
      <c r="B209">
        <v>2.0311119999999998</v>
      </c>
      <c r="C209">
        <v>170149027</v>
      </c>
      <c r="D209">
        <v>743534296</v>
      </c>
    </row>
    <row r="210" spans="1:4" x14ac:dyDescent="0.45">
      <c r="A210" s="1" t="s">
        <v>45</v>
      </c>
      <c r="B210">
        <v>2.0140560000000001</v>
      </c>
      <c r="C210">
        <v>171557570</v>
      </c>
      <c r="D210">
        <v>733300072</v>
      </c>
    </row>
    <row r="211" spans="1:4" x14ac:dyDescent="0.45">
      <c r="A211" s="1" t="s">
        <v>46</v>
      </c>
      <c r="B211">
        <v>2.0133260000000002</v>
      </c>
      <c r="C211">
        <v>170597465</v>
      </c>
      <c r="D211">
        <v>735369866</v>
      </c>
    </row>
    <row r="212" spans="1:4" x14ac:dyDescent="0.45">
      <c r="A212" s="1" t="s">
        <v>47</v>
      </c>
      <c r="B212">
        <v>2.010891</v>
      </c>
      <c r="C212">
        <v>171118743</v>
      </c>
      <c r="D212">
        <v>734921058</v>
      </c>
    </row>
    <row r="213" spans="1:4" x14ac:dyDescent="0.45">
      <c r="A213" s="1" t="s">
        <v>48</v>
      </c>
      <c r="B213">
        <v>2.0215000000000001</v>
      </c>
      <c r="C213">
        <v>169225600</v>
      </c>
      <c r="D213">
        <v>742319918</v>
      </c>
    </row>
    <row r="214" spans="1:4" x14ac:dyDescent="0.45">
      <c r="A214" s="1" t="s">
        <v>49</v>
      </c>
      <c r="B214">
        <v>2.0215749999999999</v>
      </c>
      <c r="C214">
        <v>168785616</v>
      </c>
      <c r="D214">
        <v>760519191</v>
      </c>
    </row>
    <row r="215" spans="1:4" x14ac:dyDescent="0.45">
      <c r="A215" s="1" t="s">
        <v>50</v>
      </c>
      <c r="B215">
        <v>2.013719</v>
      </c>
      <c r="C215">
        <v>171236572</v>
      </c>
      <c r="D215">
        <v>732156659</v>
      </c>
    </row>
    <row r="216" spans="1:4" x14ac:dyDescent="0.45">
      <c r="A216" s="1" t="s">
        <v>51</v>
      </c>
      <c r="B216">
        <v>2.016912</v>
      </c>
      <c r="C216">
        <v>169366337</v>
      </c>
      <c r="D216">
        <v>767201572</v>
      </c>
    </row>
    <row r="217" spans="1:4" x14ac:dyDescent="0.45">
      <c r="A217" s="1" t="s">
        <v>52</v>
      </c>
      <c r="B217">
        <v>2.023101</v>
      </c>
      <c r="C217">
        <v>171233314</v>
      </c>
      <c r="D217">
        <v>739252178</v>
      </c>
    </row>
    <row r="218" spans="1:4" x14ac:dyDescent="0.45">
      <c r="A218" s="1" t="s">
        <v>53</v>
      </c>
      <c r="B218">
        <v>2.0237630000000002</v>
      </c>
      <c r="C218">
        <v>170578115</v>
      </c>
      <c r="D218">
        <v>741676528</v>
      </c>
    </row>
    <row r="219" spans="1:4" x14ac:dyDescent="0.45">
      <c r="A219" s="1" t="s">
        <v>54</v>
      </c>
      <c r="B219">
        <v>2.0257320000000001</v>
      </c>
      <c r="C219">
        <v>170080205</v>
      </c>
      <c r="D219">
        <v>743454483</v>
      </c>
    </row>
    <row r="220" spans="1:4" x14ac:dyDescent="0.45">
      <c r="A220" s="1" t="s">
        <v>55</v>
      </c>
      <c r="B220">
        <v>2.016168</v>
      </c>
      <c r="C220">
        <v>171007998</v>
      </c>
      <c r="D220">
        <v>736908894</v>
      </c>
    </row>
    <row r="221" spans="1:4" x14ac:dyDescent="0.45">
      <c r="A221" s="1" t="s">
        <v>56</v>
      </c>
      <c r="B221">
        <v>2.045458</v>
      </c>
      <c r="C221">
        <v>170258087</v>
      </c>
      <c r="D221">
        <v>746678024</v>
      </c>
    </row>
    <row r="222" spans="1:4" x14ac:dyDescent="0.45">
      <c r="A222" s="1" t="s">
        <v>66</v>
      </c>
      <c r="B222">
        <f>AVERAGE(B172:B221)</f>
        <v>2.0257150400000001</v>
      </c>
      <c r="C222">
        <f>AVERAGE(C172:C221)</f>
        <v>170460923.47999999</v>
      </c>
      <c r="D222">
        <f>AVERAGE(D172:D221)</f>
        <v>742423308.70000005</v>
      </c>
    </row>
    <row r="223" spans="1:4" x14ac:dyDescent="0.45">
      <c r="A223" s="1" t="s">
        <v>67</v>
      </c>
      <c r="B223">
        <f>_xlfn.VAR.S(B172:B221)</f>
        <v>5.3562479150857294E-4</v>
      </c>
      <c r="C223">
        <f>_xlfn.VAR.S(C172:C221)</f>
        <v>604488750236.70349</v>
      </c>
      <c r="D223">
        <f>_xlfn.VAR.S(D172:D221)</f>
        <v>114215961826184.72</v>
      </c>
    </row>
    <row r="224" spans="1:4" x14ac:dyDescent="0.45">
      <c r="A224" s="1" t="s">
        <v>68</v>
      </c>
      <c r="B224">
        <f>MAX(B172:B221)</f>
        <v>2.1156540000000001</v>
      </c>
      <c r="C224">
        <f>MAX(C172:C221)</f>
        <v>171666608</v>
      </c>
      <c r="D224">
        <f>MAX(D172:D221)</f>
        <v>781120212</v>
      </c>
    </row>
    <row r="225" spans="1:4" x14ac:dyDescent="0.45">
      <c r="A225" s="1" t="s">
        <v>60</v>
      </c>
    </row>
    <row r="226" spans="1:4" x14ac:dyDescent="0.45">
      <c r="A226" s="1" t="s">
        <v>4</v>
      </c>
    </row>
    <row r="227" spans="1:4" x14ac:dyDescent="0.45">
      <c r="A227" s="1" t="s">
        <v>4</v>
      </c>
    </row>
    <row r="228" spans="1:4" x14ac:dyDescent="0.45">
      <c r="A228" s="1" t="s">
        <v>4</v>
      </c>
    </row>
    <row r="229" spans="1:4" x14ac:dyDescent="0.45">
      <c r="A229" s="1" t="s">
        <v>6</v>
      </c>
    </row>
    <row r="230" spans="1:4" x14ac:dyDescent="0.45">
      <c r="A230" s="1" t="s">
        <v>7</v>
      </c>
      <c r="B230">
        <v>1.196E-3</v>
      </c>
      <c r="C230">
        <v>128215</v>
      </c>
      <c r="D230">
        <v>416504</v>
      </c>
    </row>
    <row r="231" spans="1:4" x14ac:dyDescent="0.45">
      <c r="A231" s="1" t="s">
        <v>8</v>
      </c>
      <c r="B231">
        <v>1.188E-3</v>
      </c>
      <c r="C231">
        <v>128729</v>
      </c>
      <c r="D231">
        <v>415007</v>
      </c>
    </row>
    <row r="232" spans="1:4" x14ac:dyDescent="0.45">
      <c r="A232" s="1" t="s">
        <v>9</v>
      </c>
      <c r="B232">
        <v>1.291E-3</v>
      </c>
      <c r="C232">
        <v>127549</v>
      </c>
      <c r="D232">
        <v>428476</v>
      </c>
    </row>
    <row r="233" spans="1:4" x14ac:dyDescent="0.45">
      <c r="A233" s="1" t="s">
        <v>10</v>
      </c>
      <c r="B233">
        <v>1.2650000000000001E-3</v>
      </c>
      <c r="C233">
        <v>128093</v>
      </c>
      <c r="D233">
        <v>419986</v>
      </c>
    </row>
    <row r="234" spans="1:4" x14ac:dyDescent="0.45">
      <c r="A234" s="1" t="s">
        <v>11</v>
      </c>
      <c r="B234">
        <v>1.225E-3</v>
      </c>
      <c r="C234">
        <v>127588</v>
      </c>
      <c r="D234">
        <v>424641</v>
      </c>
    </row>
    <row r="235" spans="1:4" x14ac:dyDescent="0.45">
      <c r="A235" s="1" t="s">
        <v>12</v>
      </c>
      <c r="B235">
        <v>1.1980000000000001E-3</v>
      </c>
      <c r="C235">
        <v>128471</v>
      </c>
      <c r="D235">
        <v>416844</v>
      </c>
    </row>
    <row r="236" spans="1:4" x14ac:dyDescent="0.45">
      <c r="A236" s="1" t="s">
        <v>13</v>
      </c>
      <c r="B236">
        <v>1.2179999999999999E-3</v>
      </c>
      <c r="C236">
        <v>128187</v>
      </c>
      <c r="D236">
        <v>420422</v>
      </c>
    </row>
    <row r="237" spans="1:4" x14ac:dyDescent="0.45">
      <c r="A237" s="1" t="s">
        <v>14</v>
      </c>
      <c r="B237">
        <v>1.2080000000000001E-3</v>
      </c>
      <c r="C237">
        <v>128572</v>
      </c>
      <c r="D237">
        <v>414537</v>
      </c>
    </row>
    <row r="238" spans="1:4" x14ac:dyDescent="0.45">
      <c r="A238" s="1" t="s">
        <v>15</v>
      </c>
      <c r="B238">
        <v>1.248E-3</v>
      </c>
      <c r="C238">
        <v>126850</v>
      </c>
      <c r="D238">
        <v>425636</v>
      </c>
    </row>
    <row r="239" spans="1:4" x14ac:dyDescent="0.45">
      <c r="A239" s="1" t="s">
        <v>16</v>
      </c>
      <c r="B239">
        <v>1.3079999999999999E-3</v>
      </c>
      <c r="C239">
        <v>126800</v>
      </c>
      <c r="D239">
        <v>426791</v>
      </c>
    </row>
    <row r="240" spans="1:4" x14ac:dyDescent="0.45">
      <c r="A240" s="1" t="s">
        <v>17</v>
      </c>
      <c r="B240">
        <v>1.238E-3</v>
      </c>
      <c r="C240">
        <v>128333</v>
      </c>
      <c r="D240">
        <v>421449</v>
      </c>
    </row>
    <row r="241" spans="1:4" x14ac:dyDescent="0.45">
      <c r="A241" s="1" t="s">
        <v>18</v>
      </c>
      <c r="B241">
        <v>1.2049999999999999E-3</v>
      </c>
      <c r="C241">
        <v>128541</v>
      </c>
      <c r="D241">
        <v>408888</v>
      </c>
    </row>
    <row r="242" spans="1:4" x14ac:dyDescent="0.45">
      <c r="A242" s="1" t="s">
        <v>19</v>
      </c>
      <c r="B242">
        <v>1.1980000000000001E-3</v>
      </c>
      <c r="C242">
        <v>127837</v>
      </c>
      <c r="D242">
        <v>411385</v>
      </c>
    </row>
    <row r="243" spans="1:4" x14ac:dyDescent="0.45">
      <c r="A243" s="1" t="s">
        <v>20</v>
      </c>
      <c r="B243">
        <v>1.191E-3</v>
      </c>
      <c r="C243">
        <v>127725</v>
      </c>
      <c r="D243">
        <v>413538</v>
      </c>
    </row>
    <row r="244" spans="1:4" x14ac:dyDescent="0.45">
      <c r="A244" s="1" t="s">
        <v>21</v>
      </c>
      <c r="B244">
        <v>1.5269999999999999E-3</v>
      </c>
      <c r="C244">
        <v>127714</v>
      </c>
      <c r="D244">
        <v>413116</v>
      </c>
    </row>
    <row r="245" spans="1:4" x14ac:dyDescent="0.45">
      <c r="A245" s="1" t="s">
        <v>22</v>
      </c>
      <c r="B245">
        <v>1.224E-3</v>
      </c>
      <c r="C245">
        <v>127851</v>
      </c>
      <c r="D245">
        <v>428350</v>
      </c>
    </row>
    <row r="246" spans="1:4" x14ac:dyDescent="0.45">
      <c r="A246" s="1" t="s">
        <v>23</v>
      </c>
      <c r="B246">
        <v>1.2110000000000001E-3</v>
      </c>
      <c r="C246">
        <v>127868</v>
      </c>
      <c r="D246">
        <v>419207</v>
      </c>
    </row>
    <row r="247" spans="1:4" x14ac:dyDescent="0.45">
      <c r="A247" s="1" t="s">
        <v>24</v>
      </c>
      <c r="B247">
        <v>1.2229999999999999E-3</v>
      </c>
      <c r="C247">
        <v>128518</v>
      </c>
      <c r="D247">
        <v>411857</v>
      </c>
    </row>
    <row r="248" spans="1:4" x14ac:dyDescent="0.45">
      <c r="A248" s="1" t="s">
        <v>25</v>
      </c>
      <c r="B248">
        <v>1.1900000000000001E-3</v>
      </c>
      <c r="C248">
        <v>127851</v>
      </c>
      <c r="D248">
        <v>420147</v>
      </c>
    </row>
    <row r="249" spans="1:4" x14ac:dyDescent="0.45">
      <c r="A249" s="1" t="s">
        <v>26</v>
      </c>
      <c r="B249">
        <v>1.214E-3</v>
      </c>
      <c r="C249">
        <v>128809</v>
      </c>
      <c r="D249">
        <v>417041</v>
      </c>
    </row>
    <row r="250" spans="1:4" x14ac:dyDescent="0.45">
      <c r="A250" s="1" t="s">
        <v>27</v>
      </c>
      <c r="B250">
        <v>1.206E-3</v>
      </c>
      <c r="C250">
        <v>127417</v>
      </c>
      <c r="D250">
        <v>436237</v>
      </c>
    </row>
    <row r="251" spans="1:4" x14ac:dyDescent="0.45">
      <c r="A251" s="1" t="s">
        <v>28</v>
      </c>
      <c r="B251">
        <v>1.2600000000000001E-3</v>
      </c>
      <c r="C251">
        <v>127590</v>
      </c>
      <c r="D251">
        <v>420314</v>
      </c>
    </row>
    <row r="252" spans="1:4" x14ac:dyDescent="0.45">
      <c r="A252" s="1" t="s">
        <v>29</v>
      </c>
      <c r="B252">
        <v>1.237E-3</v>
      </c>
      <c r="C252">
        <v>127408</v>
      </c>
      <c r="D252">
        <v>426757</v>
      </c>
    </row>
    <row r="253" spans="1:4" x14ac:dyDescent="0.45">
      <c r="A253" s="1" t="s">
        <v>30</v>
      </c>
      <c r="B253">
        <v>1.1739999999999999E-3</v>
      </c>
      <c r="C253">
        <v>127764</v>
      </c>
      <c r="D253">
        <v>426907</v>
      </c>
    </row>
    <row r="254" spans="1:4" x14ac:dyDescent="0.45">
      <c r="A254" s="1" t="s">
        <v>31</v>
      </c>
      <c r="B254">
        <v>1.1999999999999999E-3</v>
      </c>
      <c r="C254">
        <v>127739</v>
      </c>
      <c r="D254">
        <v>422033</v>
      </c>
    </row>
    <row r="255" spans="1:4" x14ac:dyDescent="0.45">
      <c r="A255" s="1" t="s">
        <v>32</v>
      </c>
      <c r="B255">
        <v>1.2600000000000001E-3</v>
      </c>
      <c r="C255">
        <v>126859</v>
      </c>
      <c r="D255">
        <v>445501</v>
      </c>
    </row>
    <row r="256" spans="1:4" x14ac:dyDescent="0.45">
      <c r="A256" s="1" t="s">
        <v>33</v>
      </c>
      <c r="B256">
        <v>1.276E-3</v>
      </c>
      <c r="C256">
        <v>129146</v>
      </c>
      <c r="D256">
        <v>407523</v>
      </c>
    </row>
    <row r="257" spans="1:4" x14ac:dyDescent="0.45">
      <c r="A257" s="1" t="s">
        <v>34</v>
      </c>
      <c r="B257">
        <v>1.196E-3</v>
      </c>
      <c r="C257">
        <v>127909</v>
      </c>
      <c r="D257">
        <v>420916</v>
      </c>
    </row>
    <row r="258" spans="1:4" x14ac:dyDescent="0.45">
      <c r="A258" s="1" t="s">
        <v>35</v>
      </c>
      <c r="B258">
        <v>1.2049999999999999E-3</v>
      </c>
      <c r="C258">
        <v>129152</v>
      </c>
      <c r="D258">
        <v>415296</v>
      </c>
    </row>
    <row r="259" spans="1:4" x14ac:dyDescent="0.45">
      <c r="A259" s="1" t="s">
        <v>36</v>
      </c>
      <c r="B259">
        <v>1.188E-3</v>
      </c>
      <c r="C259">
        <v>128174</v>
      </c>
      <c r="D259">
        <v>410620</v>
      </c>
    </row>
    <row r="260" spans="1:4" x14ac:dyDescent="0.45">
      <c r="A260" s="1" t="s">
        <v>37</v>
      </c>
      <c r="B260">
        <v>1.2930000000000001E-3</v>
      </c>
      <c r="C260">
        <v>127870</v>
      </c>
      <c r="D260">
        <v>429666</v>
      </c>
    </row>
    <row r="261" spans="1:4" x14ac:dyDescent="0.45">
      <c r="A261" s="1" t="s">
        <v>38</v>
      </c>
      <c r="B261">
        <v>1.201E-3</v>
      </c>
      <c r="C261">
        <v>126334</v>
      </c>
      <c r="D261">
        <v>426487</v>
      </c>
    </row>
    <row r="262" spans="1:4" x14ac:dyDescent="0.45">
      <c r="A262" s="1" t="s">
        <v>39</v>
      </c>
      <c r="B262">
        <v>1.194E-3</v>
      </c>
      <c r="C262">
        <v>128058</v>
      </c>
      <c r="D262">
        <v>415034</v>
      </c>
    </row>
    <row r="263" spans="1:4" x14ac:dyDescent="0.45">
      <c r="A263" s="1" t="s">
        <v>40</v>
      </c>
      <c r="B263">
        <v>1.2149999999999999E-3</v>
      </c>
      <c r="C263">
        <v>128536</v>
      </c>
      <c r="D263">
        <v>415392</v>
      </c>
    </row>
    <row r="264" spans="1:4" x14ac:dyDescent="0.45">
      <c r="A264" s="1" t="s">
        <v>41</v>
      </c>
      <c r="B264">
        <v>1.23E-3</v>
      </c>
      <c r="C264">
        <v>127449</v>
      </c>
      <c r="D264">
        <v>434145</v>
      </c>
    </row>
    <row r="265" spans="1:4" x14ac:dyDescent="0.45">
      <c r="A265" s="1" t="s">
        <v>42</v>
      </c>
      <c r="B265">
        <v>1.214E-3</v>
      </c>
      <c r="C265">
        <v>128237</v>
      </c>
      <c r="D265">
        <v>420599</v>
      </c>
    </row>
    <row r="266" spans="1:4" x14ac:dyDescent="0.45">
      <c r="A266" s="1" t="s">
        <v>43</v>
      </c>
      <c r="B266">
        <v>1.212E-3</v>
      </c>
      <c r="C266">
        <v>128558</v>
      </c>
      <c r="D266">
        <v>413553</v>
      </c>
    </row>
    <row r="267" spans="1:4" x14ac:dyDescent="0.45">
      <c r="A267" s="1" t="s">
        <v>44</v>
      </c>
      <c r="B267">
        <v>1.188E-3</v>
      </c>
      <c r="C267">
        <v>127981</v>
      </c>
      <c r="D267">
        <v>412585</v>
      </c>
    </row>
    <row r="268" spans="1:4" x14ac:dyDescent="0.45">
      <c r="A268" s="1" t="s">
        <v>45</v>
      </c>
      <c r="B268">
        <v>1.1980000000000001E-3</v>
      </c>
      <c r="C268">
        <v>127835</v>
      </c>
      <c r="D268">
        <v>421466</v>
      </c>
    </row>
    <row r="269" spans="1:4" x14ac:dyDescent="0.45">
      <c r="A269" s="1" t="s">
        <v>46</v>
      </c>
      <c r="B269">
        <v>1.181E-3</v>
      </c>
      <c r="C269">
        <v>127905</v>
      </c>
      <c r="D269">
        <v>426807</v>
      </c>
    </row>
    <row r="270" spans="1:4" x14ac:dyDescent="0.45">
      <c r="A270" s="1" t="s">
        <v>47</v>
      </c>
      <c r="B270">
        <v>1.1360000000000001E-3</v>
      </c>
      <c r="C270">
        <v>128054</v>
      </c>
      <c r="D270">
        <v>415601</v>
      </c>
    </row>
    <row r="271" spans="1:4" x14ac:dyDescent="0.45">
      <c r="A271" s="1" t="s">
        <v>48</v>
      </c>
      <c r="B271">
        <v>1.1460000000000001E-3</v>
      </c>
      <c r="C271">
        <v>127151</v>
      </c>
      <c r="D271">
        <v>418575</v>
      </c>
    </row>
    <row r="272" spans="1:4" x14ac:dyDescent="0.45">
      <c r="A272" s="1" t="s">
        <v>49</v>
      </c>
      <c r="B272">
        <v>1.1820000000000001E-3</v>
      </c>
      <c r="C272">
        <v>128096</v>
      </c>
      <c r="D272">
        <v>415196</v>
      </c>
    </row>
    <row r="273" spans="1:4" x14ac:dyDescent="0.45">
      <c r="A273" s="1" t="s">
        <v>50</v>
      </c>
      <c r="B273">
        <v>1.1590000000000001E-3</v>
      </c>
      <c r="C273">
        <v>128301</v>
      </c>
      <c r="D273">
        <v>416718</v>
      </c>
    </row>
    <row r="274" spans="1:4" x14ac:dyDescent="0.45">
      <c r="A274" s="1" t="s">
        <v>51</v>
      </c>
      <c r="B274">
        <v>1.183E-3</v>
      </c>
      <c r="C274">
        <v>128091</v>
      </c>
      <c r="D274">
        <v>427275</v>
      </c>
    </row>
    <row r="275" spans="1:4" x14ac:dyDescent="0.45">
      <c r="A275" s="1" t="s">
        <v>52</v>
      </c>
      <c r="B275">
        <v>1.1540000000000001E-3</v>
      </c>
      <c r="C275">
        <v>128196</v>
      </c>
      <c r="D275">
        <v>416641</v>
      </c>
    </row>
    <row r="276" spans="1:4" x14ac:dyDescent="0.45">
      <c r="A276" s="1" t="s">
        <v>53</v>
      </c>
      <c r="B276">
        <v>1.194E-3</v>
      </c>
      <c r="C276">
        <v>127603</v>
      </c>
      <c r="D276">
        <v>422155</v>
      </c>
    </row>
    <row r="277" spans="1:4" x14ac:dyDescent="0.45">
      <c r="A277" s="1" t="s">
        <v>54</v>
      </c>
      <c r="B277">
        <v>1.291E-3</v>
      </c>
      <c r="C277">
        <v>127229</v>
      </c>
      <c r="D277">
        <v>427735</v>
      </c>
    </row>
    <row r="278" spans="1:4" x14ac:dyDescent="0.45">
      <c r="A278" s="1" t="s">
        <v>55</v>
      </c>
      <c r="B278">
        <v>1.2470000000000001E-3</v>
      </c>
      <c r="C278">
        <v>127756</v>
      </c>
      <c r="D278">
        <v>432106</v>
      </c>
    </row>
    <row r="279" spans="1:4" x14ac:dyDescent="0.45">
      <c r="A279" s="1" t="s">
        <v>56</v>
      </c>
      <c r="B279">
        <v>1.214E-3</v>
      </c>
      <c r="C279">
        <v>128700</v>
      </c>
      <c r="D279">
        <v>428199</v>
      </c>
    </row>
    <row r="280" spans="1:4" x14ac:dyDescent="0.45">
      <c r="A280" s="1" t="s">
        <v>66</v>
      </c>
      <c r="B280">
        <f>AVERAGE(B230:B279)</f>
        <v>1.2200000000000002E-3</v>
      </c>
      <c r="C280">
        <f>AVERAGE(C230:C279)</f>
        <v>127943.98</v>
      </c>
      <c r="D280">
        <f>AVERAGE(D230:D279)</f>
        <v>420837.22</v>
      </c>
    </row>
    <row r="281" spans="1:4" x14ac:dyDescent="0.45">
      <c r="A281" s="1" t="s">
        <v>67</v>
      </c>
      <c r="B281">
        <f>_xlfn.VAR.S(B230:B279)</f>
        <v>3.3816734693877527E-9</v>
      </c>
      <c r="C281">
        <f>_xlfn.VAR.S(C230:C279)</f>
        <v>339735.48938775522</v>
      </c>
      <c r="D281">
        <f>_xlfn.VAR.S(D230:D279)</f>
        <v>58172744.868979573</v>
      </c>
    </row>
    <row r="282" spans="1:4" x14ac:dyDescent="0.45">
      <c r="A282" s="1" t="s">
        <v>68</v>
      </c>
      <c r="B282">
        <f>MAX(B230:B279)</f>
        <v>1.5269999999999999E-3</v>
      </c>
      <c r="C282">
        <f>MAX(C230:C279)</f>
        <v>129152</v>
      </c>
      <c r="D282">
        <f>MAX(D230:D279)</f>
        <v>445501</v>
      </c>
    </row>
    <row r="283" spans="1:4" x14ac:dyDescent="0.45">
      <c r="A283" s="1" t="s">
        <v>57</v>
      </c>
    </row>
    <row r="284" spans="1:4" x14ac:dyDescent="0.45">
      <c r="A284" s="1" t="s">
        <v>7</v>
      </c>
      <c r="B284">
        <v>1.5332E-2</v>
      </c>
      <c r="C284">
        <v>1518925</v>
      </c>
      <c r="D284">
        <v>5258225</v>
      </c>
    </row>
    <row r="285" spans="1:4" x14ac:dyDescent="0.45">
      <c r="A285" s="1" t="s">
        <v>8</v>
      </c>
      <c r="B285">
        <v>1.5003000000000001E-2</v>
      </c>
      <c r="C285">
        <v>1521225</v>
      </c>
      <c r="D285">
        <v>5180478</v>
      </c>
    </row>
    <row r="286" spans="1:4" x14ac:dyDescent="0.45">
      <c r="A286" s="1" t="s">
        <v>9</v>
      </c>
      <c r="B286">
        <v>1.4694E-2</v>
      </c>
      <c r="C286">
        <v>1517580</v>
      </c>
      <c r="D286">
        <v>5171936</v>
      </c>
    </row>
    <row r="287" spans="1:4" x14ac:dyDescent="0.45">
      <c r="A287" s="1" t="s">
        <v>10</v>
      </c>
      <c r="B287">
        <v>1.4708000000000001E-2</v>
      </c>
      <c r="C287">
        <v>1516548</v>
      </c>
      <c r="D287">
        <v>5162316</v>
      </c>
    </row>
    <row r="288" spans="1:4" x14ac:dyDescent="0.45">
      <c r="A288" s="1" t="s">
        <v>11</v>
      </c>
      <c r="B288">
        <v>1.5075E-2</v>
      </c>
      <c r="C288">
        <v>1500854</v>
      </c>
      <c r="D288">
        <v>5315729</v>
      </c>
    </row>
    <row r="289" spans="1:4" x14ac:dyDescent="0.45">
      <c r="A289" s="1" t="s">
        <v>12</v>
      </c>
      <c r="B289">
        <v>1.4958000000000001E-2</v>
      </c>
      <c r="C289">
        <v>1514246</v>
      </c>
      <c r="D289">
        <v>5248228</v>
      </c>
    </row>
    <row r="290" spans="1:4" x14ac:dyDescent="0.45">
      <c r="A290" s="1" t="s">
        <v>13</v>
      </c>
      <c r="B290">
        <v>1.468E-2</v>
      </c>
      <c r="C290">
        <v>1515907</v>
      </c>
      <c r="D290">
        <v>5233555</v>
      </c>
    </row>
    <row r="291" spans="1:4" x14ac:dyDescent="0.45">
      <c r="A291" s="1" t="s">
        <v>14</v>
      </c>
      <c r="B291">
        <v>1.4598E-2</v>
      </c>
      <c r="C291">
        <v>1503979</v>
      </c>
      <c r="D291">
        <v>5223851</v>
      </c>
    </row>
    <row r="292" spans="1:4" x14ac:dyDescent="0.45">
      <c r="A292" s="1" t="s">
        <v>15</v>
      </c>
      <c r="B292">
        <v>1.4690999999999999E-2</v>
      </c>
      <c r="C292">
        <v>1529157</v>
      </c>
      <c r="D292">
        <v>5127724</v>
      </c>
    </row>
    <row r="293" spans="1:4" x14ac:dyDescent="0.45">
      <c r="A293" s="1" t="s">
        <v>16</v>
      </c>
      <c r="B293">
        <v>1.4971999999999999E-2</v>
      </c>
      <c r="C293">
        <v>1512428</v>
      </c>
      <c r="D293">
        <v>5235711</v>
      </c>
    </row>
    <row r="294" spans="1:4" x14ac:dyDescent="0.45">
      <c r="A294" s="1" t="s">
        <v>17</v>
      </c>
      <c r="B294">
        <v>1.4928E-2</v>
      </c>
      <c r="C294">
        <v>1512538</v>
      </c>
      <c r="D294">
        <v>5319130</v>
      </c>
    </row>
    <row r="295" spans="1:4" x14ac:dyDescent="0.45">
      <c r="A295" s="1" t="s">
        <v>18</v>
      </c>
      <c r="B295">
        <v>1.4784E-2</v>
      </c>
      <c r="C295">
        <v>1490233</v>
      </c>
      <c r="D295">
        <v>5458428</v>
      </c>
    </row>
    <row r="296" spans="1:4" x14ac:dyDescent="0.45">
      <c r="A296" s="1" t="s">
        <v>19</v>
      </c>
      <c r="B296">
        <v>1.4777999999999999E-2</v>
      </c>
      <c r="C296">
        <v>1514365</v>
      </c>
      <c r="D296">
        <v>5215858</v>
      </c>
    </row>
    <row r="297" spans="1:4" x14ac:dyDescent="0.45">
      <c r="A297" s="1" t="s">
        <v>20</v>
      </c>
      <c r="B297">
        <v>1.4515E-2</v>
      </c>
      <c r="C297">
        <v>1513196</v>
      </c>
      <c r="D297">
        <v>5368052</v>
      </c>
    </row>
    <row r="298" spans="1:4" x14ac:dyDescent="0.45">
      <c r="A298" s="1" t="s">
        <v>21</v>
      </c>
      <c r="B298">
        <v>1.528E-2</v>
      </c>
      <c r="C298">
        <v>1505471</v>
      </c>
      <c r="D298">
        <v>5440021</v>
      </c>
    </row>
    <row r="299" spans="1:4" x14ac:dyDescent="0.45">
      <c r="A299" s="1" t="s">
        <v>22</v>
      </c>
      <c r="B299">
        <v>1.4947999999999999E-2</v>
      </c>
      <c r="C299">
        <v>1518826</v>
      </c>
      <c r="D299">
        <v>5152873</v>
      </c>
    </row>
    <row r="300" spans="1:4" x14ac:dyDescent="0.45">
      <c r="A300" s="1" t="s">
        <v>23</v>
      </c>
      <c r="B300">
        <v>1.5651000000000002E-2</v>
      </c>
      <c r="C300">
        <v>1505986</v>
      </c>
      <c r="D300">
        <v>5467410</v>
      </c>
    </row>
    <row r="301" spans="1:4" x14ac:dyDescent="0.45">
      <c r="A301" s="1" t="s">
        <v>24</v>
      </c>
      <c r="B301">
        <v>1.515E-2</v>
      </c>
      <c r="C301">
        <v>1512644</v>
      </c>
      <c r="D301">
        <v>5293285</v>
      </c>
    </row>
    <row r="302" spans="1:4" x14ac:dyDescent="0.45">
      <c r="A302" s="1" t="s">
        <v>25</v>
      </c>
      <c r="B302">
        <v>1.4912E-2</v>
      </c>
      <c r="C302">
        <v>1505755</v>
      </c>
      <c r="D302">
        <v>5270894</v>
      </c>
    </row>
    <row r="303" spans="1:4" x14ac:dyDescent="0.45">
      <c r="A303" s="1" t="s">
        <v>26</v>
      </c>
      <c r="B303">
        <v>1.4858E-2</v>
      </c>
      <c r="C303">
        <v>1507503</v>
      </c>
      <c r="D303">
        <v>5261154</v>
      </c>
    </row>
    <row r="304" spans="1:4" x14ac:dyDescent="0.45">
      <c r="A304" s="1" t="s">
        <v>27</v>
      </c>
      <c r="B304">
        <v>1.5301E-2</v>
      </c>
      <c r="C304">
        <v>1514875</v>
      </c>
      <c r="D304">
        <v>5262386</v>
      </c>
    </row>
    <row r="305" spans="1:4" x14ac:dyDescent="0.45">
      <c r="A305" s="1" t="s">
        <v>28</v>
      </c>
      <c r="B305">
        <v>1.4754E-2</v>
      </c>
      <c r="C305">
        <v>1510975</v>
      </c>
      <c r="D305">
        <v>5365306</v>
      </c>
    </row>
    <row r="306" spans="1:4" x14ac:dyDescent="0.45">
      <c r="A306" s="1" t="s">
        <v>29</v>
      </c>
      <c r="B306">
        <v>1.4871000000000001E-2</v>
      </c>
      <c r="C306">
        <v>1492038</v>
      </c>
      <c r="D306">
        <v>5331806</v>
      </c>
    </row>
    <row r="307" spans="1:4" x14ac:dyDescent="0.45">
      <c r="A307" s="1" t="s">
        <v>30</v>
      </c>
      <c r="B307">
        <v>1.504E-2</v>
      </c>
      <c r="C307">
        <v>1517490</v>
      </c>
      <c r="D307">
        <v>5242494</v>
      </c>
    </row>
    <row r="308" spans="1:4" x14ac:dyDescent="0.45">
      <c r="A308" s="1" t="s">
        <v>31</v>
      </c>
      <c r="B308">
        <v>1.4781000000000001E-2</v>
      </c>
      <c r="C308">
        <v>1507896</v>
      </c>
      <c r="D308">
        <v>5298512</v>
      </c>
    </row>
    <row r="309" spans="1:4" x14ac:dyDescent="0.45">
      <c r="A309" s="1" t="s">
        <v>32</v>
      </c>
      <c r="B309">
        <v>1.4729000000000001E-2</v>
      </c>
      <c r="C309">
        <v>1508500</v>
      </c>
      <c r="D309">
        <v>5326194</v>
      </c>
    </row>
    <row r="310" spans="1:4" x14ac:dyDescent="0.45">
      <c r="A310" s="1" t="s">
        <v>33</v>
      </c>
      <c r="B310">
        <v>1.4525E-2</v>
      </c>
      <c r="C310">
        <v>1518221</v>
      </c>
      <c r="D310">
        <v>5167250</v>
      </c>
    </row>
    <row r="311" spans="1:4" x14ac:dyDescent="0.45">
      <c r="A311" s="1" t="s">
        <v>34</v>
      </c>
      <c r="B311">
        <v>1.4886999999999999E-2</v>
      </c>
      <c r="C311">
        <v>1505739</v>
      </c>
      <c r="D311">
        <v>5285686</v>
      </c>
    </row>
    <row r="312" spans="1:4" x14ac:dyDescent="0.45">
      <c r="A312" s="1" t="s">
        <v>35</v>
      </c>
      <c r="B312">
        <v>1.4544E-2</v>
      </c>
      <c r="C312">
        <v>1500765</v>
      </c>
      <c r="D312">
        <v>5387100</v>
      </c>
    </row>
    <row r="313" spans="1:4" x14ac:dyDescent="0.45">
      <c r="A313" s="1" t="s">
        <v>36</v>
      </c>
      <c r="B313">
        <v>1.4814000000000001E-2</v>
      </c>
      <c r="C313">
        <v>1504136</v>
      </c>
      <c r="D313">
        <v>5294268</v>
      </c>
    </row>
    <row r="314" spans="1:4" x14ac:dyDescent="0.45">
      <c r="A314" s="1" t="s">
        <v>37</v>
      </c>
      <c r="B314">
        <v>1.473E-2</v>
      </c>
      <c r="C314">
        <v>1520486</v>
      </c>
      <c r="D314">
        <v>5216500</v>
      </c>
    </row>
    <row r="315" spans="1:4" x14ac:dyDescent="0.45">
      <c r="A315" s="1" t="s">
        <v>38</v>
      </c>
      <c r="B315">
        <v>1.472E-2</v>
      </c>
      <c r="C315">
        <v>1505833</v>
      </c>
      <c r="D315">
        <v>5304665</v>
      </c>
    </row>
    <row r="316" spans="1:4" x14ac:dyDescent="0.45">
      <c r="A316" s="1" t="s">
        <v>39</v>
      </c>
      <c r="B316">
        <v>1.5006E-2</v>
      </c>
      <c r="C316">
        <v>1505888</v>
      </c>
      <c r="D316">
        <v>5250404</v>
      </c>
    </row>
    <row r="317" spans="1:4" x14ac:dyDescent="0.45">
      <c r="A317" s="1" t="s">
        <v>40</v>
      </c>
      <c r="B317">
        <v>1.4928E-2</v>
      </c>
      <c r="C317">
        <v>1512904</v>
      </c>
      <c r="D317">
        <v>5347895</v>
      </c>
    </row>
    <row r="318" spans="1:4" x14ac:dyDescent="0.45">
      <c r="A318" s="1" t="s">
        <v>41</v>
      </c>
      <c r="B318">
        <v>1.5365E-2</v>
      </c>
      <c r="C318">
        <v>1512648</v>
      </c>
      <c r="D318">
        <v>5341588</v>
      </c>
    </row>
    <row r="319" spans="1:4" x14ac:dyDescent="0.45">
      <c r="A319" s="1" t="s">
        <v>42</v>
      </c>
      <c r="B319">
        <v>1.4773E-2</v>
      </c>
      <c r="C319">
        <v>1510549</v>
      </c>
      <c r="D319">
        <v>5423644</v>
      </c>
    </row>
    <row r="320" spans="1:4" x14ac:dyDescent="0.45">
      <c r="A320" s="1" t="s">
        <v>43</v>
      </c>
      <c r="B320">
        <v>1.5391999999999999E-2</v>
      </c>
      <c r="C320">
        <v>1503099</v>
      </c>
      <c r="D320">
        <v>5350177</v>
      </c>
    </row>
    <row r="321" spans="1:4" x14ac:dyDescent="0.45">
      <c r="A321" s="1" t="s">
        <v>44</v>
      </c>
      <c r="B321">
        <v>1.5768000000000001E-2</v>
      </c>
      <c r="C321">
        <v>1509003</v>
      </c>
      <c r="D321">
        <v>5392030</v>
      </c>
    </row>
    <row r="322" spans="1:4" x14ac:dyDescent="0.45">
      <c r="A322" s="1" t="s">
        <v>45</v>
      </c>
      <c r="B322">
        <v>1.6392E-2</v>
      </c>
      <c r="C322">
        <v>1508653</v>
      </c>
      <c r="D322">
        <v>5363546</v>
      </c>
    </row>
    <row r="323" spans="1:4" x14ac:dyDescent="0.45">
      <c r="A323" s="1" t="s">
        <v>46</v>
      </c>
      <c r="B323">
        <v>1.5781E-2</v>
      </c>
      <c r="C323">
        <v>1525217</v>
      </c>
      <c r="D323">
        <v>5140496</v>
      </c>
    </row>
    <row r="324" spans="1:4" x14ac:dyDescent="0.45">
      <c r="A324" s="1" t="s">
        <v>47</v>
      </c>
      <c r="B324">
        <v>1.5357000000000001E-2</v>
      </c>
      <c r="C324">
        <v>1512799</v>
      </c>
      <c r="D324">
        <v>5204438</v>
      </c>
    </row>
    <row r="325" spans="1:4" x14ac:dyDescent="0.45">
      <c r="A325" s="1" t="s">
        <v>48</v>
      </c>
      <c r="B325">
        <v>1.5308E-2</v>
      </c>
      <c r="C325">
        <v>1512352</v>
      </c>
      <c r="D325">
        <v>5221125</v>
      </c>
    </row>
    <row r="326" spans="1:4" x14ac:dyDescent="0.45">
      <c r="A326" s="1" t="s">
        <v>49</v>
      </c>
      <c r="B326">
        <v>1.5171E-2</v>
      </c>
      <c r="C326">
        <v>1508922</v>
      </c>
      <c r="D326">
        <v>5250053</v>
      </c>
    </row>
    <row r="327" spans="1:4" x14ac:dyDescent="0.45">
      <c r="A327" s="1" t="s">
        <v>50</v>
      </c>
      <c r="B327">
        <v>1.5685000000000001E-2</v>
      </c>
      <c r="C327">
        <v>1506481</v>
      </c>
      <c r="D327">
        <v>5390325</v>
      </c>
    </row>
    <row r="328" spans="1:4" x14ac:dyDescent="0.45">
      <c r="A328" s="1" t="s">
        <v>51</v>
      </c>
      <c r="B328">
        <v>1.499E-2</v>
      </c>
      <c r="C328">
        <v>1513224</v>
      </c>
      <c r="D328">
        <v>5188153</v>
      </c>
    </row>
    <row r="329" spans="1:4" x14ac:dyDescent="0.45">
      <c r="A329" s="1" t="s">
        <v>52</v>
      </c>
      <c r="B329">
        <v>1.4876E-2</v>
      </c>
      <c r="C329">
        <v>1517119</v>
      </c>
      <c r="D329">
        <v>5256996</v>
      </c>
    </row>
    <row r="330" spans="1:4" x14ac:dyDescent="0.45">
      <c r="A330" s="1" t="s">
        <v>53</v>
      </c>
      <c r="B330">
        <v>1.473E-2</v>
      </c>
      <c r="C330">
        <v>1520733</v>
      </c>
      <c r="D330">
        <v>5194331</v>
      </c>
    </row>
    <row r="331" spans="1:4" x14ac:dyDescent="0.45">
      <c r="A331" s="1" t="s">
        <v>54</v>
      </c>
      <c r="B331">
        <v>1.4687E-2</v>
      </c>
      <c r="C331">
        <v>1507605</v>
      </c>
      <c r="D331">
        <v>5329716</v>
      </c>
    </row>
    <row r="332" spans="1:4" x14ac:dyDescent="0.45">
      <c r="A332" s="1" t="s">
        <v>55</v>
      </c>
      <c r="B332">
        <v>1.4730999999999999E-2</v>
      </c>
      <c r="C332">
        <v>1515622</v>
      </c>
      <c r="D332">
        <v>5255314</v>
      </c>
    </row>
    <row r="333" spans="1:4" x14ac:dyDescent="0.45">
      <c r="A333" s="1" t="s">
        <v>56</v>
      </c>
      <c r="B333">
        <v>1.4525E-2</v>
      </c>
      <c r="C333">
        <v>1514778</v>
      </c>
      <c r="D333">
        <v>5242768</v>
      </c>
    </row>
    <row r="334" spans="1:4" x14ac:dyDescent="0.45">
      <c r="A334" s="1" t="s">
        <v>66</v>
      </c>
      <c r="B334">
        <f>AVERAGE(B284:B333)</f>
        <v>1.4993519999999998E-2</v>
      </c>
      <c r="C334">
        <f>AVERAGE(C284:C333)</f>
        <v>1511238.32</v>
      </c>
      <c r="D334">
        <f>AVERAGE(D284:D333)</f>
        <v>5280600.4800000004</v>
      </c>
    </row>
    <row r="335" spans="1:4" x14ac:dyDescent="0.45">
      <c r="A335" s="1" t="s">
        <v>67</v>
      </c>
      <c r="B335">
        <f>_xlfn.VAR.S(B284:B333)</f>
        <v>1.46031356734694E-7</v>
      </c>
      <c r="C335">
        <f>_xlfn.VAR.S(C284:C333)</f>
        <v>54450952.34448979</v>
      </c>
      <c r="D335">
        <f>_xlfn.VAR.S(D284:D333)</f>
        <v>7172094319.84653</v>
      </c>
    </row>
    <row r="336" spans="1:4" x14ac:dyDescent="0.45">
      <c r="A336" s="1" t="s">
        <v>68</v>
      </c>
      <c r="B336">
        <f>MAX(B284:B333)</f>
        <v>1.6392E-2</v>
      </c>
      <c r="C336">
        <f>MAX(C284:C333)</f>
        <v>1529157</v>
      </c>
      <c r="D336">
        <f>MAX(D284:D333)</f>
        <v>5467410</v>
      </c>
    </row>
    <row r="337" spans="1:4" x14ac:dyDescent="0.45">
      <c r="A337" s="1" t="s">
        <v>58</v>
      </c>
    </row>
    <row r="338" spans="1:4" x14ac:dyDescent="0.45">
      <c r="A338" s="1" t="s">
        <v>7</v>
      </c>
      <c r="B338">
        <v>0.18413299999999999</v>
      </c>
      <c r="C338">
        <v>17477738</v>
      </c>
      <c r="D338">
        <v>63177549</v>
      </c>
    </row>
    <row r="339" spans="1:4" x14ac:dyDescent="0.45">
      <c r="A339" s="1" t="s">
        <v>8</v>
      </c>
      <c r="B339">
        <v>0.18148400000000001</v>
      </c>
      <c r="C339">
        <v>17429254</v>
      </c>
      <c r="D339">
        <v>63736111</v>
      </c>
    </row>
    <row r="340" spans="1:4" x14ac:dyDescent="0.45">
      <c r="A340" s="1" t="s">
        <v>9</v>
      </c>
      <c r="B340">
        <v>0.17961199999999999</v>
      </c>
      <c r="C340">
        <v>17403412</v>
      </c>
      <c r="D340">
        <v>64482814</v>
      </c>
    </row>
    <row r="341" spans="1:4" x14ac:dyDescent="0.45">
      <c r="A341" s="1" t="s">
        <v>10</v>
      </c>
      <c r="B341">
        <v>0.176259</v>
      </c>
      <c r="C341">
        <v>17391019</v>
      </c>
      <c r="D341">
        <v>63117935</v>
      </c>
    </row>
    <row r="342" spans="1:4" x14ac:dyDescent="0.45">
      <c r="A342" s="1" t="s">
        <v>11</v>
      </c>
      <c r="B342">
        <v>0.18174899999999999</v>
      </c>
      <c r="C342">
        <v>17435697</v>
      </c>
      <c r="D342">
        <v>64194309</v>
      </c>
    </row>
    <row r="343" spans="1:4" x14ac:dyDescent="0.45">
      <c r="A343" s="1" t="s">
        <v>12</v>
      </c>
      <c r="B343">
        <v>0.17799899999999999</v>
      </c>
      <c r="C343">
        <v>17222226</v>
      </c>
      <c r="D343">
        <v>66937338</v>
      </c>
    </row>
    <row r="344" spans="1:4" x14ac:dyDescent="0.45">
      <c r="A344" s="1" t="s">
        <v>13</v>
      </c>
      <c r="B344">
        <v>0.17701800000000001</v>
      </c>
      <c r="C344">
        <v>17422885</v>
      </c>
      <c r="D344">
        <v>62612935</v>
      </c>
    </row>
    <row r="345" spans="1:4" x14ac:dyDescent="0.45">
      <c r="A345" s="1" t="s">
        <v>14</v>
      </c>
      <c r="B345">
        <v>0.17672399999999999</v>
      </c>
      <c r="C345">
        <v>17365682</v>
      </c>
      <c r="D345">
        <v>63383336</v>
      </c>
    </row>
    <row r="346" spans="1:4" x14ac:dyDescent="0.45">
      <c r="A346" s="1" t="s">
        <v>15</v>
      </c>
      <c r="B346">
        <v>0.17555799999999999</v>
      </c>
      <c r="C346">
        <v>17408733</v>
      </c>
      <c r="D346">
        <v>63348170</v>
      </c>
    </row>
    <row r="347" spans="1:4" x14ac:dyDescent="0.45">
      <c r="A347" s="1" t="s">
        <v>16</v>
      </c>
      <c r="B347">
        <v>0.17821300000000001</v>
      </c>
      <c r="C347">
        <v>17481661</v>
      </c>
      <c r="D347">
        <v>63160249</v>
      </c>
    </row>
    <row r="348" spans="1:4" x14ac:dyDescent="0.45">
      <c r="A348" s="1" t="s">
        <v>17</v>
      </c>
      <c r="B348">
        <v>0.17699999999999999</v>
      </c>
      <c r="C348">
        <v>17453274</v>
      </c>
      <c r="D348">
        <v>63851405</v>
      </c>
    </row>
    <row r="349" spans="1:4" x14ac:dyDescent="0.45">
      <c r="A349" s="1" t="s">
        <v>18</v>
      </c>
      <c r="B349">
        <v>0.17805799999999999</v>
      </c>
      <c r="C349">
        <v>17362572</v>
      </c>
      <c r="D349">
        <v>64627739</v>
      </c>
    </row>
    <row r="350" spans="1:4" x14ac:dyDescent="0.45">
      <c r="A350" s="1" t="s">
        <v>19</v>
      </c>
      <c r="B350">
        <v>0.18207200000000001</v>
      </c>
      <c r="C350">
        <v>17484438</v>
      </c>
      <c r="D350">
        <v>64308123</v>
      </c>
    </row>
    <row r="351" spans="1:4" x14ac:dyDescent="0.45">
      <c r="A351" s="1" t="s">
        <v>20</v>
      </c>
      <c r="B351">
        <v>0.17955099999999999</v>
      </c>
      <c r="C351">
        <v>17472966</v>
      </c>
      <c r="D351">
        <v>62579360</v>
      </c>
    </row>
    <row r="352" spans="1:4" x14ac:dyDescent="0.45">
      <c r="A352" s="1" t="s">
        <v>21</v>
      </c>
      <c r="B352">
        <v>0.176566</v>
      </c>
      <c r="C352">
        <v>17501749</v>
      </c>
      <c r="D352">
        <v>62776898</v>
      </c>
    </row>
    <row r="353" spans="1:4" x14ac:dyDescent="0.45">
      <c r="A353" s="1" t="s">
        <v>22</v>
      </c>
      <c r="B353">
        <v>0.179698</v>
      </c>
      <c r="C353">
        <v>17364175</v>
      </c>
      <c r="D353">
        <v>63213026</v>
      </c>
    </row>
    <row r="354" spans="1:4" x14ac:dyDescent="0.45">
      <c r="A354" s="1" t="s">
        <v>23</v>
      </c>
      <c r="B354">
        <v>0.178564</v>
      </c>
      <c r="C354">
        <v>17549227</v>
      </c>
      <c r="D354">
        <v>62574022</v>
      </c>
    </row>
    <row r="355" spans="1:4" x14ac:dyDescent="0.45">
      <c r="A355" s="1" t="s">
        <v>24</v>
      </c>
      <c r="B355">
        <v>0.17708199999999999</v>
      </c>
      <c r="C355">
        <v>17484661</v>
      </c>
      <c r="D355">
        <v>62560086</v>
      </c>
    </row>
    <row r="356" spans="1:4" x14ac:dyDescent="0.45">
      <c r="A356" s="1" t="s">
        <v>25</v>
      </c>
      <c r="B356">
        <v>0.18068300000000001</v>
      </c>
      <c r="C356">
        <v>17480872</v>
      </c>
      <c r="D356">
        <v>63286227</v>
      </c>
    </row>
    <row r="357" spans="1:4" x14ac:dyDescent="0.45">
      <c r="A357" s="1" t="s">
        <v>26</v>
      </c>
      <c r="B357">
        <v>0.17843500000000001</v>
      </c>
      <c r="C357">
        <v>17312455</v>
      </c>
      <c r="D357">
        <v>65479349</v>
      </c>
    </row>
    <row r="358" spans="1:4" x14ac:dyDescent="0.45">
      <c r="A358" s="1" t="s">
        <v>27</v>
      </c>
      <c r="B358">
        <v>0.17976200000000001</v>
      </c>
      <c r="C358">
        <v>17493571</v>
      </c>
      <c r="D358">
        <v>62567524</v>
      </c>
    </row>
    <row r="359" spans="1:4" x14ac:dyDescent="0.45">
      <c r="A359" s="1" t="s">
        <v>28</v>
      </c>
      <c r="B359">
        <v>0.17666299999999999</v>
      </c>
      <c r="C359">
        <v>17494543</v>
      </c>
      <c r="D359">
        <v>63145929</v>
      </c>
    </row>
    <row r="360" spans="1:4" x14ac:dyDescent="0.45">
      <c r="A360" s="1" t="s">
        <v>29</v>
      </c>
      <c r="B360">
        <v>0.17494199999999999</v>
      </c>
      <c r="C360">
        <v>17482292</v>
      </c>
      <c r="D360">
        <v>63226474</v>
      </c>
    </row>
    <row r="361" spans="1:4" x14ac:dyDescent="0.45">
      <c r="A361" s="1" t="s">
        <v>30</v>
      </c>
      <c r="B361">
        <v>0.17668200000000001</v>
      </c>
      <c r="C361">
        <v>17401526</v>
      </c>
      <c r="D361">
        <v>63217980</v>
      </c>
    </row>
    <row r="362" spans="1:4" x14ac:dyDescent="0.45">
      <c r="A362" s="1" t="s">
        <v>31</v>
      </c>
      <c r="B362">
        <v>0.17674799999999999</v>
      </c>
      <c r="C362">
        <v>17465176</v>
      </c>
      <c r="D362">
        <v>64253784</v>
      </c>
    </row>
    <row r="363" spans="1:4" x14ac:dyDescent="0.45">
      <c r="A363" s="1" t="s">
        <v>32</v>
      </c>
      <c r="B363">
        <v>0.17718700000000001</v>
      </c>
      <c r="C363">
        <v>17296973</v>
      </c>
      <c r="D363">
        <v>65056877</v>
      </c>
    </row>
    <row r="364" spans="1:4" x14ac:dyDescent="0.45">
      <c r="A364" s="1" t="s">
        <v>33</v>
      </c>
      <c r="B364">
        <v>0.181501</v>
      </c>
      <c r="C364">
        <v>17271333</v>
      </c>
      <c r="D364">
        <v>65318223</v>
      </c>
    </row>
    <row r="365" spans="1:4" x14ac:dyDescent="0.45">
      <c r="A365" s="1" t="s">
        <v>34</v>
      </c>
      <c r="B365">
        <v>0.18018000000000001</v>
      </c>
      <c r="C365">
        <v>17347993</v>
      </c>
      <c r="D365">
        <v>65133704</v>
      </c>
    </row>
    <row r="366" spans="1:4" x14ac:dyDescent="0.45">
      <c r="A366" s="1" t="s">
        <v>35</v>
      </c>
      <c r="B366">
        <v>0.1792</v>
      </c>
      <c r="C366">
        <v>17415887</v>
      </c>
      <c r="D366">
        <v>62980983</v>
      </c>
    </row>
    <row r="367" spans="1:4" x14ac:dyDescent="0.45">
      <c r="A367" s="1" t="s">
        <v>36</v>
      </c>
      <c r="B367">
        <v>0.17990900000000001</v>
      </c>
      <c r="C367">
        <v>17444316</v>
      </c>
      <c r="D367">
        <v>63692288</v>
      </c>
    </row>
    <row r="368" spans="1:4" x14ac:dyDescent="0.45">
      <c r="A368" s="1" t="s">
        <v>37</v>
      </c>
      <c r="B368">
        <v>0.17788100000000001</v>
      </c>
      <c r="C368">
        <v>17279470</v>
      </c>
      <c r="D368">
        <v>65724819</v>
      </c>
    </row>
    <row r="369" spans="1:4" x14ac:dyDescent="0.45">
      <c r="A369" s="1" t="s">
        <v>38</v>
      </c>
      <c r="B369">
        <v>0.17824699999999999</v>
      </c>
      <c r="C369">
        <v>17366764</v>
      </c>
      <c r="D369">
        <v>62485772</v>
      </c>
    </row>
    <row r="370" spans="1:4" x14ac:dyDescent="0.45">
      <c r="A370" s="1" t="s">
        <v>39</v>
      </c>
      <c r="B370">
        <v>0.17572499999999999</v>
      </c>
      <c r="C370">
        <v>17505734</v>
      </c>
      <c r="D370">
        <v>62260361</v>
      </c>
    </row>
    <row r="371" spans="1:4" x14ac:dyDescent="0.45">
      <c r="A371" s="1" t="s">
        <v>40</v>
      </c>
      <c r="B371">
        <v>0.17649000000000001</v>
      </c>
      <c r="C371">
        <v>17367029</v>
      </c>
      <c r="D371">
        <v>63608136</v>
      </c>
    </row>
    <row r="372" spans="1:4" x14ac:dyDescent="0.45">
      <c r="A372" s="1" t="s">
        <v>41</v>
      </c>
      <c r="B372">
        <v>0.17899699999999999</v>
      </c>
      <c r="C372">
        <v>17398860</v>
      </c>
      <c r="D372">
        <v>64483053</v>
      </c>
    </row>
    <row r="373" spans="1:4" x14ac:dyDescent="0.45">
      <c r="A373" s="1" t="s">
        <v>42</v>
      </c>
      <c r="B373">
        <v>0.17832000000000001</v>
      </c>
      <c r="C373">
        <v>17395280</v>
      </c>
      <c r="D373">
        <v>62950614</v>
      </c>
    </row>
    <row r="374" spans="1:4" x14ac:dyDescent="0.45">
      <c r="A374" s="1" t="s">
        <v>43</v>
      </c>
      <c r="B374">
        <v>0.18044499999999999</v>
      </c>
      <c r="C374">
        <v>17420990</v>
      </c>
      <c r="D374">
        <v>63194936</v>
      </c>
    </row>
    <row r="375" spans="1:4" x14ac:dyDescent="0.45">
      <c r="A375" s="1" t="s">
        <v>44</v>
      </c>
      <c r="B375">
        <v>0.177979</v>
      </c>
      <c r="C375">
        <v>17329519</v>
      </c>
      <c r="D375">
        <v>64264787</v>
      </c>
    </row>
    <row r="376" spans="1:4" x14ac:dyDescent="0.45">
      <c r="A376" s="1" t="s">
        <v>45</v>
      </c>
      <c r="B376">
        <v>0.178206</v>
      </c>
      <c r="C376">
        <v>17486266</v>
      </c>
      <c r="D376">
        <v>62965546</v>
      </c>
    </row>
    <row r="377" spans="1:4" x14ac:dyDescent="0.45">
      <c r="A377" s="1" t="s">
        <v>46</v>
      </c>
      <c r="B377">
        <v>0.17806</v>
      </c>
      <c r="C377">
        <v>17493763</v>
      </c>
      <c r="D377">
        <v>62681862</v>
      </c>
    </row>
    <row r="378" spans="1:4" x14ac:dyDescent="0.45">
      <c r="A378" s="1" t="s">
        <v>47</v>
      </c>
      <c r="B378">
        <v>0.17598</v>
      </c>
      <c r="C378">
        <v>17445020</v>
      </c>
      <c r="D378">
        <v>63550681</v>
      </c>
    </row>
    <row r="379" spans="1:4" x14ac:dyDescent="0.45">
      <c r="A379" s="1" t="s">
        <v>48</v>
      </c>
      <c r="B379">
        <v>0.176068</v>
      </c>
      <c r="C379">
        <v>17464761</v>
      </c>
      <c r="D379">
        <v>62878651</v>
      </c>
    </row>
    <row r="380" spans="1:4" x14ac:dyDescent="0.45">
      <c r="A380" s="1" t="s">
        <v>49</v>
      </c>
      <c r="B380">
        <v>0.18337999999999999</v>
      </c>
      <c r="C380">
        <v>17439820</v>
      </c>
      <c r="D380">
        <v>62706432</v>
      </c>
    </row>
    <row r="381" spans="1:4" x14ac:dyDescent="0.45">
      <c r="A381" s="1" t="s">
        <v>50</v>
      </c>
      <c r="B381">
        <v>0.177956</v>
      </c>
      <c r="C381">
        <v>17457777</v>
      </c>
      <c r="D381">
        <v>63213251</v>
      </c>
    </row>
    <row r="382" spans="1:4" x14ac:dyDescent="0.45">
      <c r="A382" s="1" t="s">
        <v>51</v>
      </c>
      <c r="B382">
        <v>0.180144</v>
      </c>
      <c r="C382">
        <v>17432604</v>
      </c>
      <c r="D382">
        <v>61935602</v>
      </c>
    </row>
    <row r="383" spans="1:4" x14ac:dyDescent="0.45">
      <c r="A383" s="1" t="s">
        <v>52</v>
      </c>
      <c r="B383">
        <v>0.17705099999999999</v>
      </c>
      <c r="C383">
        <v>17410336</v>
      </c>
      <c r="D383">
        <v>62637341</v>
      </c>
    </row>
    <row r="384" spans="1:4" x14ac:dyDescent="0.45">
      <c r="A384" s="1" t="s">
        <v>53</v>
      </c>
      <c r="B384">
        <v>0.17593</v>
      </c>
      <c r="C384">
        <v>17410099</v>
      </c>
      <c r="D384">
        <v>62931975</v>
      </c>
    </row>
    <row r="385" spans="1:4" x14ac:dyDescent="0.45">
      <c r="A385" s="1" t="s">
        <v>54</v>
      </c>
      <c r="B385">
        <v>0.179622</v>
      </c>
      <c r="C385">
        <v>17371299</v>
      </c>
      <c r="D385">
        <v>63290094</v>
      </c>
    </row>
    <row r="386" spans="1:4" x14ac:dyDescent="0.45">
      <c r="A386" s="1" t="s">
        <v>55</v>
      </c>
      <c r="B386">
        <v>0.17602499999999999</v>
      </c>
      <c r="C386">
        <v>17417060</v>
      </c>
      <c r="D386">
        <v>63095322</v>
      </c>
    </row>
    <row r="387" spans="1:4" x14ac:dyDescent="0.45">
      <c r="A387" s="1" t="s">
        <v>56</v>
      </c>
      <c r="B387">
        <v>0.17975099999999999</v>
      </c>
      <c r="C387">
        <v>17402134</v>
      </c>
      <c r="D387">
        <v>64242761</v>
      </c>
    </row>
    <row r="388" spans="1:4" x14ac:dyDescent="0.45">
      <c r="A388" s="1" t="s">
        <v>66</v>
      </c>
      <c r="B388">
        <f>AVERAGE(B338:B387)</f>
        <v>0.17842977999999998</v>
      </c>
      <c r="C388">
        <f>AVERAGE(C338:C387)</f>
        <v>17418257.82</v>
      </c>
      <c r="D388">
        <f>AVERAGE(D338:D387)</f>
        <v>63542054.859999999</v>
      </c>
    </row>
    <row r="389" spans="1:4" x14ac:dyDescent="0.45">
      <c r="A389" s="1" t="s">
        <v>67</v>
      </c>
      <c r="B389">
        <f>_xlfn.VAR.S(B338:B387)</f>
        <v>4.3545770322449021E-6</v>
      </c>
      <c r="C389">
        <f>_xlfn.VAR.S(C338:C387)</f>
        <v>4643353075.375102</v>
      </c>
      <c r="D389">
        <f>_xlfn.VAR.S(D338:D387)</f>
        <v>1017346822982.8574</v>
      </c>
    </row>
    <row r="390" spans="1:4" x14ac:dyDescent="0.45">
      <c r="A390" s="1" t="s">
        <v>68</v>
      </c>
      <c r="B390">
        <f>MAX(B338:B387)</f>
        <v>0.18413299999999999</v>
      </c>
      <c r="C390">
        <f>MAX(C338:C387)</f>
        <v>17549227</v>
      </c>
      <c r="D390">
        <f>MAX(D338:D387)</f>
        <v>66937338</v>
      </c>
    </row>
    <row r="391" spans="1:4" x14ac:dyDescent="0.45">
      <c r="A391" s="1" t="s">
        <v>59</v>
      </c>
    </row>
    <row r="392" spans="1:4" x14ac:dyDescent="0.45">
      <c r="A392" s="1" t="s">
        <v>7</v>
      </c>
      <c r="B392">
        <v>2.0931299999999999</v>
      </c>
      <c r="C392">
        <v>197632958</v>
      </c>
      <c r="D392">
        <v>736747701</v>
      </c>
    </row>
    <row r="393" spans="1:4" x14ac:dyDescent="0.45">
      <c r="A393" s="1" t="s">
        <v>8</v>
      </c>
      <c r="B393">
        <v>2.1153149999999998</v>
      </c>
      <c r="C393">
        <v>196746157</v>
      </c>
      <c r="D393">
        <v>748031074</v>
      </c>
    </row>
    <row r="394" spans="1:4" x14ac:dyDescent="0.45">
      <c r="A394" s="1" t="s">
        <v>9</v>
      </c>
      <c r="B394">
        <v>2.0879279999999998</v>
      </c>
      <c r="C394">
        <v>198412194</v>
      </c>
      <c r="D394">
        <v>729224935</v>
      </c>
    </row>
    <row r="395" spans="1:4" x14ac:dyDescent="0.45">
      <c r="A395" s="1" t="s">
        <v>10</v>
      </c>
      <c r="B395">
        <v>2.072546</v>
      </c>
      <c r="C395">
        <v>197310254</v>
      </c>
      <c r="D395">
        <v>739187404</v>
      </c>
    </row>
    <row r="396" spans="1:4" x14ac:dyDescent="0.45">
      <c r="A396" s="1" t="s">
        <v>11</v>
      </c>
      <c r="B396">
        <v>2.0630899999999999</v>
      </c>
      <c r="C396">
        <v>197560131</v>
      </c>
      <c r="D396">
        <v>741127276</v>
      </c>
    </row>
    <row r="397" spans="1:4" x14ac:dyDescent="0.45">
      <c r="A397" s="1" t="s">
        <v>12</v>
      </c>
      <c r="B397">
        <v>2.060975</v>
      </c>
      <c r="C397">
        <v>197661723</v>
      </c>
      <c r="D397">
        <v>734303668</v>
      </c>
    </row>
    <row r="398" spans="1:4" x14ac:dyDescent="0.45">
      <c r="A398" s="1" t="s">
        <v>13</v>
      </c>
      <c r="B398">
        <v>2.0716030000000001</v>
      </c>
      <c r="C398">
        <v>196443539</v>
      </c>
      <c r="D398">
        <v>754774092</v>
      </c>
    </row>
    <row r="399" spans="1:4" x14ac:dyDescent="0.45">
      <c r="A399" s="1" t="s">
        <v>14</v>
      </c>
      <c r="B399">
        <v>2.072082</v>
      </c>
      <c r="C399">
        <v>198399024</v>
      </c>
      <c r="D399">
        <v>734826829</v>
      </c>
    </row>
    <row r="400" spans="1:4" x14ac:dyDescent="0.45">
      <c r="A400" s="1" t="s">
        <v>15</v>
      </c>
      <c r="B400">
        <v>2.0592160000000002</v>
      </c>
      <c r="C400">
        <v>197624316</v>
      </c>
      <c r="D400">
        <v>738642924</v>
      </c>
    </row>
    <row r="401" spans="1:4" x14ac:dyDescent="0.45">
      <c r="A401" s="1" t="s">
        <v>16</v>
      </c>
      <c r="B401">
        <v>2.0479419999999999</v>
      </c>
      <c r="C401">
        <v>197494804</v>
      </c>
      <c r="D401">
        <v>740782174</v>
      </c>
    </row>
    <row r="402" spans="1:4" x14ac:dyDescent="0.45">
      <c r="A402" s="1" t="s">
        <v>17</v>
      </c>
      <c r="B402">
        <v>2.072527</v>
      </c>
      <c r="C402">
        <v>198543830</v>
      </c>
      <c r="D402">
        <v>725974285</v>
      </c>
    </row>
    <row r="403" spans="1:4" x14ac:dyDescent="0.45">
      <c r="A403" s="1" t="s">
        <v>18</v>
      </c>
      <c r="B403">
        <v>2.0630030000000001</v>
      </c>
      <c r="C403">
        <v>195649829</v>
      </c>
      <c r="D403">
        <v>746095629</v>
      </c>
    </row>
    <row r="404" spans="1:4" x14ac:dyDescent="0.45">
      <c r="A404" s="1" t="s">
        <v>19</v>
      </c>
      <c r="B404">
        <v>2.074821</v>
      </c>
      <c r="C404">
        <v>196085201</v>
      </c>
      <c r="D404">
        <v>755116753</v>
      </c>
    </row>
    <row r="405" spans="1:4" x14ac:dyDescent="0.45">
      <c r="A405" s="1" t="s">
        <v>20</v>
      </c>
      <c r="B405">
        <v>2.0904669999999999</v>
      </c>
      <c r="C405">
        <v>196890109</v>
      </c>
      <c r="D405">
        <v>775215984</v>
      </c>
    </row>
    <row r="406" spans="1:4" x14ac:dyDescent="0.45">
      <c r="A406" s="1" t="s">
        <v>21</v>
      </c>
      <c r="B406">
        <v>2.0849060000000001</v>
      </c>
      <c r="C406">
        <v>197650763</v>
      </c>
      <c r="D406">
        <v>740452478</v>
      </c>
    </row>
    <row r="407" spans="1:4" x14ac:dyDescent="0.45">
      <c r="A407" s="1" t="s">
        <v>22</v>
      </c>
      <c r="B407">
        <v>2.0901049999999999</v>
      </c>
      <c r="C407">
        <v>198401609</v>
      </c>
      <c r="D407">
        <v>737306593</v>
      </c>
    </row>
    <row r="408" spans="1:4" x14ac:dyDescent="0.45">
      <c r="A408" s="1" t="s">
        <v>23</v>
      </c>
      <c r="B408">
        <v>2.057858</v>
      </c>
      <c r="C408">
        <v>197649567</v>
      </c>
      <c r="D408">
        <v>736905338</v>
      </c>
    </row>
    <row r="409" spans="1:4" x14ac:dyDescent="0.45">
      <c r="A409" s="1" t="s">
        <v>24</v>
      </c>
      <c r="B409">
        <v>2.069312</v>
      </c>
      <c r="C409">
        <v>197753627</v>
      </c>
      <c r="D409">
        <v>736657446</v>
      </c>
    </row>
    <row r="410" spans="1:4" x14ac:dyDescent="0.45">
      <c r="A410" s="1" t="s">
        <v>25</v>
      </c>
      <c r="B410">
        <v>2.0726770000000001</v>
      </c>
      <c r="C410">
        <v>195511140</v>
      </c>
      <c r="D410">
        <v>757100410</v>
      </c>
    </row>
    <row r="411" spans="1:4" x14ac:dyDescent="0.45">
      <c r="A411" s="1" t="s">
        <v>26</v>
      </c>
      <c r="B411">
        <v>2.0682740000000002</v>
      </c>
      <c r="C411">
        <v>196857854</v>
      </c>
      <c r="D411">
        <v>739185236</v>
      </c>
    </row>
    <row r="412" spans="1:4" x14ac:dyDescent="0.45">
      <c r="A412" s="1" t="s">
        <v>27</v>
      </c>
      <c r="B412">
        <v>2.075494</v>
      </c>
      <c r="C412">
        <v>197345170</v>
      </c>
      <c r="D412">
        <v>735464237</v>
      </c>
    </row>
    <row r="413" spans="1:4" x14ac:dyDescent="0.45">
      <c r="A413" s="1" t="s">
        <v>28</v>
      </c>
      <c r="B413">
        <v>2.0539679999999998</v>
      </c>
      <c r="C413">
        <v>197594011</v>
      </c>
      <c r="D413">
        <v>733296498</v>
      </c>
    </row>
    <row r="414" spans="1:4" x14ac:dyDescent="0.45">
      <c r="A414" s="1" t="s">
        <v>29</v>
      </c>
      <c r="B414">
        <v>2.0696590000000001</v>
      </c>
      <c r="C414">
        <v>198080220</v>
      </c>
      <c r="D414">
        <v>735365171</v>
      </c>
    </row>
    <row r="415" spans="1:4" x14ac:dyDescent="0.45">
      <c r="A415" s="1" t="s">
        <v>30</v>
      </c>
      <c r="B415">
        <v>2.0796169999999998</v>
      </c>
      <c r="C415">
        <v>197572344</v>
      </c>
      <c r="D415">
        <v>738305531</v>
      </c>
    </row>
    <row r="416" spans="1:4" x14ac:dyDescent="0.45">
      <c r="A416" s="1" t="s">
        <v>31</v>
      </c>
      <c r="B416">
        <v>2.0808309999999999</v>
      </c>
      <c r="C416">
        <v>196260551</v>
      </c>
      <c r="D416">
        <v>757706845</v>
      </c>
    </row>
    <row r="417" spans="1:4" x14ac:dyDescent="0.45">
      <c r="A417" s="1" t="s">
        <v>32</v>
      </c>
      <c r="B417">
        <v>2.0748570000000002</v>
      </c>
      <c r="C417">
        <v>197157899</v>
      </c>
      <c r="D417">
        <v>745773342</v>
      </c>
    </row>
    <row r="418" spans="1:4" x14ac:dyDescent="0.45">
      <c r="A418" s="1" t="s">
        <v>33</v>
      </c>
      <c r="B418">
        <v>2.0655600000000001</v>
      </c>
      <c r="C418">
        <v>196712309</v>
      </c>
      <c r="D418">
        <v>750134455</v>
      </c>
    </row>
    <row r="419" spans="1:4" x14ac:dyDescent="0.45">
      <c r="A419" s="1" t="s">
        <v>34</v>
      </c>
      <c r="B419">
        <v>2.0648650000000002</v>
      </c>
      <c r="C419">
        <v>197280570</v>
      </c>
      <c r="D419">
        <v>736837975</v>
      </c>
    </row>
    <row r="420" spans="1:4" x14ac:dyDescent="0.45">
      <c r="A420" s="1" t="s">
        <v>35</v>
      </c>
      <c r="B420">
        <v>2.0534819999999998</v>
      </c>
      <c r="C420">
        <v>196626712</v>
      </c>
      <c r="D420">
        <v>743243874</v>
      </c>
    </row>
    <row r="421" spans="1:4" x14ac:dyDescent="0.45">
      <c r="A421" s="1" t="s">
        <v>36</v>
      </c>
      <c r="B421">
        <v>2.063269</v>
      </c>
      <c r="C421">
        <v>196664334</v>
      </c>
      <c r="D421">
        <v>738916544</v>
      </c>
    </row>
    <row r="422" spans="1:4" x14ac:dyDescent="0.45">
      <c r="A422" s="1" t="s">
        <v>37</v>
      </c>
      <c r="B422">
        <v>2.0749590000000002</v>
      </c>
      <c r="C422">
        <v>197666843</v>
      </c>
      <c r="D422">
        <v>738880090</v>
      </c>
    </row>
    <row r="423" spans="1:4" x14ac:dyDescent="0.45">
      <c r="A423" s="1" t="s">
        <v>38</v>
      </c>
      <c r="B423">
        <v>2.0720019999999999</v>
      </c>
      <c r="C423">
        <v>196936559</v>
      </c>
      <c r="D423">
        <v>740273950</v>
      </c>
    </row>
    <row r="424" spans="1:4" x14ac:dyDescent="0.45">
      <c r="A424" s="1" t="s">
        <v>39</v>
      </c>
      <c r="B424">
        <v>2.067968</v>
      </c>
      <c r="C424">
        <v>197275656</v>
      </c>
      <c r="D424">
        <v>740160497</v>
      </c>
    </row>
    <row r="425" spans="1:4" x14ac:dyDescent="0.45">
      <c r="A425" s="1" t="s">
        <v>40</v>
      </c>
      <c r="B425">
        <v>2.0824880000000001</v>
      </c>
      <c r="C425">
        <v>197008124</v>
      </c>
      <c r="D425">
        <v>759923320</v>
      </c>
    </row>
    <row r="426" spans="1:4" x14ac:dyDescent="0.45">
      <c r="A426" s="1" t="s">
        <v>41</v>
      </c>
      <c r="B426">
        <v>2.067377</v>
      </c>
      <c r="C426">
        <v>197584101</v>
      </c>
      <c r="D426">
        <v>732216764</v>
      </c>
    </row>
    <row r="427" spans="1:4" x14ac:dyDescent="0.45">
      <c r="A427" s="1" t="s">
        <v>42</v>
      </c>
      <c r="B427">
        <v>2.063183</v>
      </c>
      <c r="C427">
        <v>197191669</v>
      </c>
      <c r="D427">
        <v>737307650</v>
      </c>
    </row>
    <row r="428" spans="1:4" x14ac:dyDescent="0.45">
      <c r="A428" s="1" t="s">
        <v>43</v>
      </c>
      <c r="B428">
        <v>2.0658430000000001</v>
      </c>
      <c r="C428">
        <v>197726391</v>
      </c>
      <c r="D428">
        <v>736235747</v>
      </c>
    </row>
    <row r="429" spans="1:4" x14ac:dyDescent="0.45">
      <c r="A429" s="1" t="s">
        <v>44</v>
      </c>
      <c r="B429">
        <v>2.0794999999999999</v>
      </c>
      <c r="C429">
        <v>197462310</v>
      </c>
      <c r="D429">
        <v>742078018</v>
      </c>
    </row>
    <row r="430" spans="1:4" x14ac:dyDescent="0.45">
      <c r="A430" s="1" t="s">
        <v>45</v>
      </c>
      <c r="B430">
        <v>2.0584980000000002</v>
      </c>
      <c r="C430">
        <v>196937081</v>
      </c>
      <c r="D430">
        <v>731788670</v>
      </c>
    </row>
    <row r="431" spans="1:4" x14ac:dyDescent="0.45">
      <c r="A431" s="1" t="s">
        <v>46</v>
      </c>
      <c r="B431">
        <v>2.0672220000000001</v>
      </c>
      <c r="C431">
        <v>196816207</v>
      </c>
      <c r="D431">
        <v>742825100</v>
      </c>
    </row>
    <row r="432" spans="1:4" x14ac:dyDescent="0.45">
      <c r="A432" s="1" t="s">
        <v>47</v>
      </c>
      <c r="B432">
        <v>2.0958519999999998</v>
      </c>
      <c r="C432">
        <v>197481248</v>
      </c>
      <c r="D432">
        <v>749445761</v>
      </c>
    </row>
    <row r="433" spans="1:4" x14ac:dyDescent="0.45">
      <c r="A433" s="1" t="s">
        <v>48</v>
      </c>
      <c r="B433">
        <v>2.0681929999999999</v>
      </c>
      <c r="C433">
        <v>197474830</v>
      </c>
      <c r="D433">
        <v>739544842</v>
      </c>
    </row>
    <row r="434" spans="1:4" x14ac:dyDescent="0.45">
      <c r="A434" s="1" t="s">
        <v>49</v>
      </c>
      <c r="B434">
        <v>2.0748570000000002</v>
      </c>
      <c r="C434">
        <v>197557915</v>
      </c>
      <c r="D434">
        <v>738667933</v>
      </c>
    </row>
    <row r="435" spans="1:4" x14ac:dyDescent="0.45">
      <c r="A435" s="1" t="s">
        <v>50</v>
      </c>
      <c r="B435">
        <v>2.0896300000000001</v>
      </c>
      <c r="C435">
        <v>196602799</v>
      </c>
      <c r="D435">
        <v>749874840</v>
      </c>
    </row>
    <row r="436" spans="1:4" x14ac:dyDescent="0.45">
      <c r="A436" s="1" t="s">
        <v>51</v>
      </c>
      <c r="B436">
        <v>2.0685190000000002</v>
      </c>
      <c r="C436">
        <v>197187987</v>
      </c>
      <c r="D436">
        <v>736235946</v>
      </c>
    </row>
    <row r="437" spans="1:4" x14ac:dyDescent="0.45">
      <c r="A437" s="1" t="s">
        <v>52</v>
      </c>
      <c r="B437">
        <v>2.087466</v>
      </c>
      <c r="C437">
        <v>197143487</v>
      </c>
      <c r="D437">
        <v>749723161</v>
      </c>
    </row>
    <row r="438" spans="1:4" x14ac:dyDescent="0.45">
      <c r="A438" s="1" t="s">
        <v>53</v>
      </c>
      <c r="B438">
        <v>2.080832</v>
      </c>
      <c r="C438">
        <v>197236394</v>
      </c>
      <c r="D438">
        <v>762228247</v>
      </c>
    </row>
    <row r="439" spans="1:4" x14ac:dyDescent="0.45">
      <c r="A439" s="1" t="s">
        <v>54</v>
      </c>
      <c r="B439">
        <v>2.0862699999999998</v>
      </c>
      <c r="C439">
        <v>197287783</v>
      </c>
      <c r="D439">
        <v>753215150</v>
      </c>
    </row>
    <row r="440" spans="1:4" x14ac:dyDescent="0.45">
      <c r="A440" s="1" t="s">
        <v>55</v>
      </c>
      <c r="B440">
        <v>2.0688610000000001</v>
      </c>
      <c r="C440">
        <v>197628758</v>
      </c>
      <c r="D440">
        <v>739137857</v>
      </c>
    </row>
    <row r="441" spans="1:4" x14ac:dyDescent="0.45">
      <c r="A441" s="1" t="s">
        <v>56</v>
      </c>
      <c r="B441">
        <v>2.0478800000000001</v>
      </c>
      <c r="C441">
        <v>196971700</v>
      </c>
      <c r="D441">
        <v>740494285</v>
      </c>
    </row>
    <row r="442" spans="1:4" x14ac:dyDescent="0.45">
      <c r="A442" s="1" t="s">
        <v>66</v>
      </c>
      <c r="B442">
        <f>AVERAGE(B392:B441)</f>
        <v>2.0727355799999994</v>
      </c>
      <c r="C442">
        <f>AVERAGE(C392:C441)</f>
        <v>197255011.81999999</v>
      </c>
      <c r="D442">
        <f>AVERAGE(D392:D441)</f>
        <v>742459210.58000004</v>
      </c>
    </row>
    <row r="443" spans="1:4" x14ac:dyDescent="0.45">
      <c r="A443" s="1" t="s">
        <v>67</v>
      </c>
      <c r="B443">
        <f>_xlfn.VAR.S(B392:B441)</f>
        <v>1.6730581775877468E-4</v>
      </c>
      <c r="C443">
        <f>_xlfn.VAR.S(C392:C441)</f>
        <v>403625099092.59967</v>
      </c>
      <c r="D443">
        <f>_xlfn.VAR.S(D392:D441)</f>
        <v>87404244355468.484</v>
      </c>
    </row>
    <row r="444" spans="1:4" x14ac:dyDescent="0.45">
      <c r="A444" s="1" t="s">
        <v>68</v>
      </c>
      <c r="B444">
        <f>MAX(B392:B441)</f>
        <v>2.1153149999999998</v>
      </c>
      <c r="C444">
        <f>MAX(C392:C441)</f>
        <v>198543830</v>
      </c>
      <c r="D444">
        <f>MAX(D392:D441)</f>
        <v>775215984</v>
      </c>
    </row>
    <row r="445" spans="1:4" x14ac:dyDescent="0.45">
      <c r="A445" s="1" t="s">
        <v>61</v>
      </c>
    </row>
    <row r="446" spans="1:4" x14ac:dyDescent="0.45">
      <c r="A446" s="1" t="s">
        <v>4</v>
      </c>
    </row>
    <row r="447" spans="1:4" x14ac:dyDescent="0.45">
      <c r="A447" s="1" t="s">
        <v>4</v>
      </c>
    </row>
    <row r="448" spans="1:4" x14ac:dyDescent="0.45">
      <c r="A448" s="1" t="s">
        <v>4</v>
      </c>
    </row>
    <row r="449" spans="1:4" x14ac:dyDescent="0.45">
      <c r="A449" s="1" t="s">
        <v>6</v>
      </c>
    </row>
    <row r="450" spans="1:4" x14ac:dyDescent="0.45">
      <c r="A450" s="1" t="s">
        <v>7</v>
      </c>
      <c r="B450">
        <v>1.4139999999999999E-3</v>
      </c>
      <c r="C450">
        <v>152535</v>
      </c>
      <c r="D450">
        <v>449522</v>
      </c>
    </row>
    <row r="451" spans="1:4" x14ac:dyDescent="0.45">
      <c r="A451" s="1" t="s">
        <v>8</v>
      </c>
      <c r="B451">
        <v>1.3630000000000001E-3</v>
      </c>
      <c r="C451">
        <v>152878</v>
      </c>
      <c r="D451">
        <v>437255</v>
      </c>
    </row>
    <row r="452" spans="1:4" x14ac:dyDescent="0.45">
      <c r="A452" s="1" t="s">
        <v>9</v>
      </c>
      <c r="B452">
        <v>1.3569999999999999E-3</v>
      </c>
      <c r="C452">
        <v>152497</v>
      </c>
      <c r="D452">
        <v>448970</v>
      </c>
    </row>
    <row r="453" spans="1:4" x14ac:dyDescent="0.45">
      <c r="A453" s="1" t="s">
        <v>10</v>
      </c>
      <c r="B453">
        <v>1.3879999999999999E-3</v>
      </c>
      <c r="C453">
        <v>152654</v>
      </c>
      <c r="D453">
        <v>458100</v>
      </c>
    </row>
    <row r="454" spans="1:4" x14ac:dyDescent="0.45">
      <c r="A454" s="1" t="s">
        <v>11</v>
      </c>
      <c r="B454">
        <v>1.3270000000000001E-3</v>
      </c>
      <c r="C454">
        <v>152342</v>
      </c>
      <c r="D454">
        <v>451859</v>
      </c>
    </row>
    <row r="455" spans="1:4" x14ac:dyDescent="0.45">
      <c r="A455" s="1" t="s">
        <v>12</v>
      </c>
      <c r="B455">
        <v>1.4120000000000001E-3</v>
      </c>
      <c r="C455">
        <v>153579</v>
      </c>
      <c r="D455">
        <v>446506</v>
      </c>
    </row>
    <row r="456" spans="1:4" x14ac:dyDescent="0.45">
      <c r="A456" s="1" t="s">
        <v>13</v>
      </c>
      <c r="B456">
        <v>1.441E-3</v>
      </c>
      <c r="C456">
        <v>153553</v>
      </c>
      <c r="D456">
        <v>448840</v>
      </c>
    </row>
    <row r="457" spans="1:4" x14ac:dyDescent="0.45">
      <c r="A457" s="1" t="s">
        <v>14</v>
      </c>
      <c r="B457">
        <v>1.4109999999999999E-3</v>
      </c>
      <c r="C457">
        <v>152835</v>
      </c>
      <c r="D457">
        <v>437247</v>
      </c>
    </row>
    <row r="458" spans="1:4" x14ac:dyDescent="0.45">
      <c r="A458" s="1" t="s">
        <v>15</v>
      </c>
      <c r="B458">
        <v>1.4369999999999999E-3</v>
      </c>
      <c r="C458">
        <v>153453</v>
      </c>
      <c r="D458">
        <v>439089</v>
      </c>
    </row>
    <row r="459" spans="1:4" x14ac:dyDescent="0.45">
      <c r="A459" s="1" t="s">
        <v>16</v>
      </c>
      <c r="B459">
        <v>1.4250000000000001E-3</v>
      </c>
      <c r="C459">
        <v>152250</v>
      </c>
      <c r="D459">
        <v>455012</v>
      </c>
    </row>
    <row r="460" spans="1:4" x14ac:dyDescent="0.45">
      <c r="A460" s="1" t="s">
        <v>17</v>
      </c>
      <c r="B460">
        <v>1.4170000000000001E-3</v>
      </c>
      <c r="C460">
        <v>153023</v>
      </c>
      <c r="D460">
        <v>450230</v>
      </c>
    </row>
    <row r="461" spans="1:4" x14ac:dyDescent="0.45">
      <c r="A461" s="1" t="s">
        <v>18</v>
      </c>
      <c r="B461">
        <v>1.4430000000000001E-3</v>
      </c>
      <c r="C461">
        <v>153964</v>
      </c>
      <c r="D461">
        <v>445792</v>
      </c>
    </row>
    <row r="462" spans="1:4" x14ac:dyDescent="0.45">
      <c r="A462" s="1" t="s">
        <v>19</v>
      </c>
      <c r="B462">
        <v>1.4239999999999999E-3</v>
      </c>
      <c r="C462">
        <v>153349</v>
      </c>
      <c r="D462">
        <v>441872</v>
      </c>
    </row>
    <row r="463" spans="1:4" x14ac:dyDescent="0.45">
      <c r="A463" s="1" t="s">
        <v>20</v>
      </c>
      <c r="B463">
        <v>1.485E-3</v>
      </c>
      <c r="C463">
        <v>153103</v>
      </c>
      <c r="D463">
        <v>441106</v>
      </c>
    </row>
    <row r="464" spans="1:4" x14ac:dyDescent="0.45">
      <c r="A464" s="1" t="s">
        <v>21</v>
      </c>
      <c r="B464">
        <v>1.405E-3</v>
      </c>
      <c r="C464">
        <v>152531</v>
      </c>
      <c r="D464">
        <v>446202</v>
      </c>
    </row>
    <row r="465" spans="1:4" x14ac:dyDescent="0.45">
      <c r="A465" s="1" t="s">
        <v>22</v>
      </c>
      <c r="B465">
        <v>1.4189999999999999E-3</v>
      </c>
      <c r="C465">
        <v>153312</v>
      </c>
      <c r="D465">
        <v>444771</v>
      </c>
    </row>
    <row r="466" spans="1:4" x14ac:dyDescent="0.45">
      <c r="A466" s="1" t="s">
        <v>23</v>
      </c>
      <c r="B466">
        <v>1.3860000000000001E-3</v>
      </c>
      <c r="C466">
        <v>153962</v>
      </c>
      <c r="D466">
        <v>439856</v>
      </c>
    </row>
    <row r="467" spans="1:4" x14ac:dyDescent="0.45">
      <c r="A467" s="1" t="s">
        <v>24</v>
      </c>
      <c r="B467">
        <v>1.403E-3</v>
      </c>
      <c r="C467">
        <v>152804</v>
      </c>
      <c r="D467">
        <v>442604</v>
      </c>
    </row>
    <row r="468" spans="1:4" x14ac:dyDescent="0.45">
      <c r="A468" s="1" t="s">
        <v>25</v>
      </c>
      <c r="B468">
        <v>1.4970000000000001E-3</v>
      </c>
      <c r="C468">
        <v>153178</v>
      </c>
      <c r="D468">
        <v>435559</v>
      </c>
    </row>
    <row r="469" spans="1:4" x14ac:dyDescent="0.45">
      <c r="A469" s="1" t="s">
        <v>26</v>
      </c>
      <c r="B469">
        <v>1.4319999999999999E-3</v>
      </c>
      <c r="C469">
        <v>152936</v>
      </c>
      <c r="D469">
        <v>436731</v>
      </c>
    </row>
    <row r="470" spans="1:4" x14ac:dyDescent="0.45">
      <c r="A470" s="1" t="s">
        <v>27</v>
      </c>
      <c r="B470">
        <v>1.4E-3</v>
      </c>
      <c r="C470">
        <v>153918</v>
      </c>
      <c r="D470">
        <v>448421</v>
      </c>
    </row>
    <row r="471" spans="1:4" x14ac:dyDescent="0.45">
      <c r="A471" s="1" t="s">
        <v>28</v>
      </c>
      <c r="B471">
        <v>1.4239999999999999E-3</v>
      </c>
      <c r="C471">
        <v>152099</v>
      </c>
      <c r="D471">
        <v>462970</v>
      </c>
    </row>
    <row r="472" spans="1:4" x14ac:dyDescent="0.45">
      <c r="A472" s="1" t="s">
        <v>29</v>
      </c>
      <c r="B472">
        <v>1.418E-3</v>
      </c>
      <c r="C472">
        <v>152583</v>
      </c>
      <c r="D472">
        <v>455664</v>
      </c>
    </row>
    <row r="473" spans="1:4" x14ac:dyDescent="0.45">
      <c r="A473" s="1" t="s">
        <v>30</v>
      </c>
      <c r="B473">
        <v>1.439E-3</v>
      </c>
      <c r="C473">
        <v>152111</v>
      </c>
      <c r="D473">
        <v>451688</v>
      </c>
    </row>
    <row r="474" spans="1:4" x14ac:dyDescent="0.45">
      <c r="A474" s="1" t="s">
        <v>31</v>
      </c>
      <c r="B474">
        <v>1.4040000000000001E-3</v>
      </c>
      <c r="C474">
        <v>152595</v>
      </c>
      <c r="D474">
        <v>443838</v>
      </c>
    </row>
    <row r="475" spans="1:4" x14ac:dyDescent="0.45">
      <c r="A475" s="1" t="s">
        <v>32</v>
      </c>
      <c r="B475">
        <v>1.3829999999999999E-3</v>
      </c>
      <c r="C475">
        <v>153451</v>
      </c>
      <c r="D475">
        <v>438870</v>
      </c>
    </row>
    <row r="476" spans="1:4" x14ac:dyDescent="0.45">
      <c r="A476" s="1" t="s">
        <v>33</v>
      </c>
      <c r="B476">
        <v>1.3569999999999999E-3</v>
      </c>
      <c r="C476">
        <v>152346</v>
      </c>
      <c r="D476">
        <v>442277</v>
      </c>
    </row>
    <row r="477" spans="1:4" x14ac:dyDescent="0.45">
      <c r="A477" s="1" t="s">
        <v>34</v>
      </c>
      <c r="B477">
        <v>1.361E-3</v>
      </c>
      <c r="C477">
        <v>151906</v>
      </c>
      <c r="D477">
        <v>454406</v>
      </c>
    </row>
    <row r="478" spans="1:4" x14ac:dyDescent="0.45">
      <c r="A478" s="1" t="s">
        <v>35</v>
      </c>
      <c r="B478">
        <v>1.39E-3</v>
      </c>
      <c r="C478">
        <v>152793</v>
      </c>
      <c r="D478">
        <v>447730</v>
      </c>
    </row>
    <row r="479" spans="1:4" x14ac:dyDescent="0.45">
      <c r="A479" s="1" t="s">
        <v>36</v>
      </c>
      <c r="B479">
        <v>1.5449999999999999E-3</v>
      </c>
      <c r="C479">
        <v>153147</v>
      </c>
      <c r="D479">
        <v>444200</v>
      </c>
    </row>
    <row r="480" spans="1:4" x14ac:dyDescent="0.45">
      <c r="A480" s="1" t="s">
        <v>37</v>
      </c>
      <c r="B480">
        <v>1.4250000000000001E-3</v>
      </c>
      <c r="C480">
        <v>152034</v>
      </c>
      <c r="D480">
        <v>449647</v>
      </c>
    </row>
    <row r="481" spans="1:4" x14ac:dyDescent="0.45">
      <c r="A481" s="1" t="s">
        <v>38</v>
      </c>
      <c r="B481">
        <v>1.4120000000000001E-3</v>
      </c>
      <c r="C481">
        <v>153261</v>
      </c>
      <c r="D481">
        <v>437272</v>
      </c>
    </row>
    <row r="482" spans="1:4" x14ac:dyDescent="0.45">
      <c r="A482" s="1" t="s">
        <v>39</v>
      </c>
      <c r="B482">
        <v>1.3760000000000001E-3</v>
      </c>
      <c r="C482">
        <v>152809</v>
      </c>
      <c r="D482">
        <v>450816</v>
      </c>
    </row>
    <row r="483" spans="1:4" x14ac:dyDescent="0.45">
      <c r="A483" s="1" t="s">
        <v>40</v>
      </c>
      <c r="B483">
        <v>1.4350000000000001E-3</v>
      </c>
      <c r="C483">
        <v>153513</v>
      </c>
      <c r="D483">
        <v>445179</v>
      </c>
    </row>
    <row r="484" spans="1:4" x14ac:dyDescent="0.45">
      <c r="A484" s="1" t="s">
        <v>41</v>
      </c>
      <c r="B484">
        <v>1.4610000000000001E-3</v>
      </c>
      <c r="C484">
        <v>152126</v>
      </c>
      <c r="D484">
        <v>442769</v>
      </c>
    </row>
    <row r="485" spans="1:4" x14ac:dyDescent="0.45">
      <c r="A485" s="1" t="s">
        <v>42</v>
      </c>
      <c r="B485">
        <v>1.3940000000000001E-3</v>
      </c>
      <c r="C485">
        <v>153386</v>
      </c>
      <c r="D485">
        <v>442266</v>
      </c>
    </row>
    <row r="486" spans="1:4" x14ac:dyDescent="0.45">
      <c r="A486" s="1" t="s">
        <v>43</v>
      </c>
      <c r="B486">
        <v>1.3749999999999999E-3</v>
      </c>
      <c r="C486">
        <v>152523</v>
      </c>
      <c r="D486">
        <v>436391</v>
      </c>
    </row>
    <row r="487" spans="1:4" x14ac:dyDescent="0.45">
      <c r="A487" s="1" t="s">
        <v>44</v>
      </c>
      <c r="B487">
        <v>1.382E-3</v>
      </c>
      <c r="C487">
        <v>153783</v>
      </c>
      <c r="D487">
        <v>443215</v>
      </c>
    </row>
    <row r="488" spans="1:4" x14ac:dyDescent="0.45">
      <c r="A488" s="1" t="s">
        <v>45</v>
      </c>
      <c r="B488">
        <v>1.3669999999999999E-3</v>
      </c>
      <c r="C488">
        <v>153342</v>
      </c>
      <c r="D488">
        <v>436633</v>
      </c>
    </row>
    <row r="489" spans="1:4" x14ac:dyDescent="0.45">
      <c r="A489" s="1" t="s">
        <v>46</v>
      </c>
      <c r="B489">
        <v>1.403E-3</v>
      </c>
      <c r="C489">
        <v>152510</v>
      </c>
      <c r="D489">
        <v>459783</v>
      </c>
    </row>
    <row r="490" spans="1:4" x14ac:dyDescent="0.45">
      <c r="A490" s="1" t="s">
        <v>47</v>
      </c>
      <c r="B490">
        <v>1.488E-3</v>
      </c>
      <c r="C490">
        <v>150821</v>
      </c>
      <c r="D490">
        <v>464173</v>
      </c>
    </row>
    <row r="491" spans="1:4" x14ac:dyDescent="0.45">
      <c r="A491" s="1" t="s">
        <v>48</v>
      </c>
      <c r="B491">
        <v>1.3929999999999999E-3</v>
      </c>
      <c r="C491">
        <v>154243</v>
      </c>
      <c r="D491">
        <v>440940</v>
      </c>
    </row>
    <row r="492" spans="1:4" x14ac:dyDescent="0.45">
      <c r="A492" s="1" t="s">
        <v>49</v>
      </c>
      <c r="B492">
        <v>1.3990000000000001E-3</v>
      </c>
      <c r="C492">
        <v>153796</v>
      </c>
      <c r="D492">
        <v>440022</v>
      </c>
    </row>
    <row r="493" spans="1:4" x14ac:dyDescent="0.45">
      <c r="A493" s="1" t="s">
        <v>50</v>
      </c>
      <c r="B493">
        <v>1.374E-3</v>
      </c>
      <c r="C493">
        <v>153009</v>
      </c>
      <c r="D493">
        <v>442001</v>
      </c>
    </row>
    <row r="494" spans="1:4" x14ac:dyDescent="0.45">
      <c r="A494" s="1" t="s">
        <v>51</v>
      </c>
      <c r="B494">
        <v>1.372E-3</v>
      </c>
      <c r="C494">
        <v>151547</v>
      </c>
      <c r="D494">
        <v>466732</v>
      </c>
    </row>
    <row r="495" spans="1:4" x14ac:dyDescent="0.45">
      <c r="A495" s="1" t="s">
        <v>52</v>
      </c>
      <c r="B495">
        <v>1.4040000000000001E-3</v>
      </c>
      <c r="C495">
        <v>153477</v>
      </c>
      <c r="D495">
        <v>434656</v>
      </c>
    </row>
    <row r="496" spans="1:4" x14ac:dyDescent="0.45">
      <c r="A496" s="1" t="s">
        <v>53</v>
      </c>
      <c r="B496">
        <v>1.397E-3</v>
      </c>
      <c r="C496">
        <v>152645</v>
      </c>
      <c r="D496">
        <v>451818</v>
      </c>
    </row>
    <row r="497" spans="1:4" x14ac:dyDescent="0.45">
      <c r="A497" s="1" t="s">
        <v>54</v>
      </c>
      <c r="B497">
        <v>1.3829999999999999E-3</v>
      </c>
      <c r="C497">
        <v>152551</v>
      </c>
      <c r="D497">
        <v>440485</v>
      </c>
    </row>
    <row r="498" spans="1:4" x14ac:dyDescent="0.45">
      <c r="A498" s="1" t="s">
        <v>55</v>
      </c>
      <c r="B498">
        <v>1.526E-3</v>
      </c>
      <c r="C498">
        <v>153692</v>
      </c>
      <c r="D498">
        <v>444797</v>
      </c>
    </row>
    <row r="499" spans="1:4" x14ac:dyDescent="0.45">
      <c r="A499" s="1" t="s">
        <v>56</v>
      </c>
      <c r="B499">
        <v>1.361E-3</v>
      </c>
      <c r="C499">
        <v>152680</v>
      </c>
      <c r="D499">
        <v>442772</v>
      </c>
    </row>
    <row r="500" spans="1:4" x14ac:dyDescent="0.45">
      <c r="A500" s="1" t="s">
        <v>66</v>
      </c>
      <c r="B500">
        <f>AVERAGE(B450:B499)</f>
        <v>1.4106800000000001E-3</v>
      </c>
      <c r="C500">
        <f>AVERAGE(C450:C499)</f>
        <v>152908.70000000001</v>
      </c>
      <c r="D500">
        <f>AVERAGE(D450:D499)</f>
        <v>445991.08</v>
      </c>
    </row>
    <row r="501" spans="1:4" x14ac:dyDescent="0.45">
      <c r="A501" s="1" t="s">
        <v>67</v>
      </c>
      <c r="B501">
        <f>_xlfn.VAR.S(B450:B499)</f>
        <v>1.8499363265306127E-9</v>
      </c>
      <c r="C501">
        <f>_xlfn.VAR.S(C450:C499)</f>
        <v>463188.66326530598</v>
      </c>
      <c r="D501">
        <f>_xlfn.VAR.S(D450:D499)</f>
        <v>59605013.0955102</v>
      </c>
    </row>
    <row r="502" spans="1:4" x14ac:dyDescent="0.45">
      <c r="A502" s="1" t="s">
        <v>68</v>
      </c>
      <c r="B502">
        <f>MAX(B450:B499)</f>
        <v>1.5449999999999999E-3</v>
      </c>
      <c r="C502">
        <f>MAX(C450:C499)</f>
        <v>154243</v>
      </c>
      <c r="D502">
        <f>MAX(D450:D499)</f>
        <v>466732</v>
      </c>
    </row>
    <row r="503" spans="1:4" x14ac:dyDescent="0.45">
      <c r="A503" s="1" t="s">
        <v>57</v>
      </c>
    </row>
    <row r="504" spans="1:4" x14ac:dyDescent="0.45">
      <c r="A504" s="1" t="s">
        <v>7</v>
      </c>
      <c r="B504">
        <v>1.7642999999999999E-2</v>
      </c>
      <c r="C504">
        <v>1763758</v>
      </c>
      <c r="D504">
        <v>5598096</v>
      </c>
    </row>
    <row r="505" spans="1:4" x14ac:dyDescent="0.45">
      <c r="A505" s="1" t="s">
        <v>8</v>
      </c>
      <c r="B505">
        <v>1.6497000000000001E-2</v>
      </c>
      <c r="C505">
        <v>1764850</v>
      </c>
      <c r="D505">
        <v>5445266</v>
      </c>
    </row>
    <row r="506" spans="1:4" x14ac:dyDescent="0.45">
      <c r="A506" s="1" t="s">
        <v>9</v>
      </c>
      <c r="B506">
        <v>1.6528000000000001E-2</v>
      </c>
      <c r="C506">
        <v>1759343</v>
      </c>
      <c r="D506">
        <v>5471623</v>
      </c>
    </row>
    <row r="507" spans="1:4" x14ac:dyDescent="0.45">
      <c r="A507" s="1" t="s">
        <v>10</v>
      </c>
      <c r="B507">
        <v>1.6716000000000002E-2</v>
      </c>
      <c r="C507">
        <v>1757923</v>
      </c>
      <c r="D507">
        <v>5494225</v>
      </c>
    </row>
    <row r="508" spans="1:4" x14ac:dyDescent="0.45">
      <c r="A508" s="1" t="s">
        <v>11</v>
      </c>
      <c r="B508">
        <v>1.6684999999999998E-2</v>
      </c>
      <c r="C508">
        <v>1760709</v>
      </c>
      <c r="D508">
        <v>5572704</v>
      </c>
    </row>
    <row r="509" spans="1:4" x14ac:dyDescent="0.45">
      <c r="A509" s="1" t="s">
        <v>12</v>
      </c>
      <c r="B509">
        <v>1.6799999999999999E-2</v>
      </c>
      <c r="C509">
        <v>1759061</v>
      </c>
      <c r="D509">
        <v>5591679</v>
      </c>
    </row>
    <row r="510" spans="1:4" x14ac:dyDescent="0.45">
      <c r="A510" s="1" t="s">
        <v>13</v>
      </c>
      <c r="B510">
        <v>1.6757999999999999E-2</v>
      </c>
      <c r="C510">
        <v>1760538</v>
      </c>
      <c r="D510">
        <v>5561602</v>
      </c>
    </row>
    <row r="511" spans="1:4" x14ac:dyDescent="0.45">
      <c r="A511" s="1" t="s">
        <v>14</v>
      </c>
      <c r="B511">
        <v>1.6920999999999999E-2</v>
      </c>
      <c r="C511">
        <v>1758246</v>
      </c>
      <c r="D511">
        <v>5528615</v>
      </c>
    </row>
    <row r="512" spans="1:4" x14ac:dyDescent="0.45">
      <c r="A512" s="1" t="s">
        <v>15</v>
      </c>
      <c r="B512">
        <v>1.7212000000000002E-2</v>
      </c>
      <c r="C512">
        <v>1760752</v>
      </c>
      <c r="D512">
        <v>5566943</v>
      </c>
    </row>
    <row r="513" spans="1:4" x14ac:dyDescent="0.45">
      <c r="A513" s="1" t="s">
        <v>16</v>
      </c>
      <c r="B513">
        <v>1.7915E-2</v>
      </c>
      <c r="C513">
        <v>1743818</v>
      </c>
      <c r="D513">
        <v>5662246</v>
      </c>
    </row>
    <row r="514" spans="1:4" x14ac:dyDescent="0.45">
      <c r="A514" s="1" t="s">
        <v>17</v>
      </c>
      <c r="B514">
        <v>1.7784999999999999E-2</v>
      </c>
      <c r="C514">
        <v>1768590</v>
      </c>
      <c r="D514">
        <v>5438279</v>
      </c>
    </row>
    <row r="515" spans="1:4" x14ac:dyDescent="0.45">
      <c r="A515" s="1" t="s">
        <v>18</v>
      </c>
      <c r="B515">
        <v>1.7092E-2</v>
      </c>
      <c r="C515">
        <v>1765493</v>
      </c>
      <c r="D515">
        <v>5506528</v>
      </c>
    </row>
    <row r="516" spans="1:4" x14ac:dyDescent="0.45">
      <c r="A516" s="1" t="s">
        <v>19</v>
      </c>
      <c r="B516">
        <v>1.6934999999999999E-2</v>
      </c>
      <c r="C516">
        <v>1758783</v>
      </c>
      <c r="D516">
        <v>5449565</v>
      </c>
    </row>
    <row r="517" spans="1:4" x14ac:dyDescent="0.45">
      <c r="A517" s="1" t="s">
        <v>20</v>
      </c>
      <c r="B517">
        <v>1.7117E-2</v>
      </c>
      <c r="C517">
        <v>1767760</v>
      </c>
      <c r="D517">
        <v>5436204</v>
      </c>
    </row>
    <row r="518" spans="1:4" x14ac:dyDescent="0.45">
      <c r="A518" s="1" t="s">
        <v>21</v>
      </c>
      <c r="B518">
        <v>1.7068E-2</v>
      </c>
      <c r="C518">
        <v>1758302</v>
      </c>
      <c r="D518">
        <v>5506076</v>
      </c>
    </row>
    <row r="519" spans="1:4" x14ac:dyDescent="0.45">
      <c r="A519" s="1" t="s">
        <v>22</v>
      </c>
      <c r="B519">
        <v>1.7468999999999998E-2</v>
      </c>
      <c r="C519">
        <v>1763361</v>
      </c>
      <c r="D519">
        <v>5440495</v>
      </c>
    </row>
    <row r="520" spans="1:4" x14ac:dyDescent="0.45">
      <c r="A520" s="1" t="s">
        <v>23</v>
      </c>
      <c r="B520">
        <v>1.7235E-2</v>
      </c>
      <c r="C520">
        <v>1761633</v>
      </c>
      <c r="D520">
        <v>5582914</v>
      </c>
    </row>
    <row r="521" spans="1:4" x14ac:dyDescent="0.45">
      <c r="A521" s="1" t="s">
        <v>24</v>
      </c>
      <c r="B521">
        <v>1.6788000000000001E-2</v>
      </c>
      <c r="C521">
        <v>1751409</v>
      </c>
      <c r="D521">
        <v>5522295</v>
      </c>
    </row>
    <row r="522" spans="1:4" x14ac:dyDescent="0.45">
      <c r="A522" s="1" t="s">
        <v>25</v>
      </c>
      <c r="B522">
        <v>1.6603E-2</v>
      </c>
      <c r="C522">
        <v>1758835</v>
      </c>
      <c r="D522">
        <v>5433253</v>
      </c>
    </row>
    <row r="523" spans="1:4" x14ac:dyDescent="0.45">
      <c r="A523" s="1" t="s">
        <v>26</v>
      </c>
      <c r="B523">
        <v>1.6983000000000002E-2</v>
      </c>
      <c r="C523">
        <v>1771021</v>
      </c>
      <c r="D523">
        <v>5378979</v>
      </c>
    </row>
    <row r="524" spans="1:4" x14ac:dyDescent="0.45">
      <c r="A524" s="1" t="s">
        <v>27</v>
      </c>
      <c r="B524">
        <v>1.7104000000000001E-2</v>
      </c>
      <c r="C524">
        <v>1757343</v>
      </c>
      <c r="D524">
        <v>5709777</v>
      </c>
    </row>
    <row r="525" spans="1:4" x14ac:dyDescent="0.45">
      <c r="A525" s="1" t="s">
        <v>28</v>
      </c>
      <c r="B525">
        <v>1.6778999999999999E-2</v>
      </c>
      <c r="C525">
        <v>1759511</v>
      </c>
      <c r="D525">
        <v>5488622</v>
      </c>
    </row>
    <row r="526" spans="1:4" x14ac:dyDescent="0.45">
      <c r="A526" s="1" t="s">
        <v>29</v>
      </c>
      <c r="B526">
        <v>1.6863E-2</v>
      </c>
      <c r="C526">
        <v>1764967</v>
      </c>
      <c r="D526">
        <v>5421895</v>
      </c>
    </row>
    <row r="527" spans="1:4" x14ac:dyDescent="0.45">
      <c r="A527" s="1" t="s">
        <v>30</v>
      </c>
      <c r="B527">
        <v>1.6839E-2</v>
      </c>
      <c r="C527">
        <v>1761006</v>
      </c>
      <c r="D527">
        <v>5491146</v>
      </c>
    </row>
    <row r="528" spans="1:4" x14ac:dyDescent="0.45">
      <c r="A528" s="1" t="s">
        <v>31</v>
      </c>
      <c r="B528">
        <v>1.6524E-2</v>
      </c>
      <c r="C528">
        <v>1750988</v>
      </c>
      <c r="D528">
        <v>5553885</v>
      </c>
    </row>
    <row r="529" spans="1:4" x14ac:dyDescent="0.45">
      <c r="A529" s="1" t="s">
        <v>32</v>
      </c>
      <c r="B529">
        <v>1.6714E-2</v>
      </c>
      <c r="C529">
        <v>1759024</v>
      </c>
      <c r="D529">
        <v>5450402</v>
      </c>
    </row>
    <row r="530" spans="1:4" x14ac:dyDescent="0.45">
      <c r="A530" s="1" t="s">
        <v>33</v>
      </c>
      <c r="B530">
        <v>1.7062999999999998E-2</v>
      </c>
      <c r="C530">
        <v>1755820</v>
      </c>
      <c r="D530">
        <v>5736939</v>
      </c>
    </row>
    <row r="531" spans="1:4" x14ac:dyDescent="0.45">
      <c r="A531" s="1" t="s">
        <v>34</v>
      </c>
      <c r="B531">
        <v>1.6900999999999999E-2</v>
      </c>
      <c r="C531">
        <v>1760336</v>
      </c>
      <c r="D531">
        <v>5491633</v>
      </c>
    </row>
    <row r="532" spans="1:4" x14ac:dyDescent="0.45">
      <c r="A532" s="1" t="s">
        <v>35</v>
      </c>
      <c r="B532">
        <v>1.6997999999999999E-2</v>
      </c>
      <c r="C532">
        <v>1766472</v>
      </c>
      <c r="D532">
        <v>5415278</v>
      </c>
    </row>
    <row r="533" spans="1:4" x14ac:dyDescent="0.45">
      <c r="A533" s="1" t="s">
        <v>36</v>
      </c>
      <c r="B533">
        <v>1.6671999999999999E-2</v>
      </c>
      <c r="C533">
        <v>1759965</v>
      </c>
      <c r="D533">
        <v>5437108</v>
      </c>
    </row>
    <row r="534" spans="1:4" x14ac:dyDescent="0.45">
      <c r="A534" s="1" t="s">
        <v>37</v>
      </c>
      <c r="B534">
        <v>1.7073999999999999E-2</v>
      </c>
      <c r="C534">
        <v>1764897</v>
      </c>
      <c r="D534">
        <v>5476499</v>
      </c>
    </row>
    <row r="535" spans="1:4" x14ac:dyDescent="0.45">
      <c r="A535" s="1" t="s">
        <v>38</v>
      </c>
      <c r="B535">
        <v>1.6612999999999999E-2</v>
      </c>
      <c r="C535">
        <v>1770095</v>
      </c>
      <c r="D535">
        <v>5430885</v>
      </c>
    </row>
    <row r="536" spans="1:4" x14ac:dyDescent="0.45">
      <c r="A536" s="1" t="s">
        <v>39</v>
      </c>
      <c r="B536">
        <v>1.6719999999999999E-2</v>
      </c>
      <c r="C536">
        <v>1762904</v>
      </c>
      <c r="D536">
        <v>5427193</v>
      </c>
    </row>
    <row r="537" spans="1:4" x14ac:dyDescent="0.45">
      <c r="A537" s="1" t="s">
        <v>40</v>
      </c>
      <c r="B537">
        <v>1.7429E-2</v>
      </c>
      <c r="C537">
        <v>1750999</v>
      </c>
      <c r="D537">
        <v>5596407</v>
      </c>
    </row>
    <row r="538" spans="1:4" x14ac:dyDescent="0.45">
      <c r="A538" s="1" t="s">
        <v>41</v>
      </c>
      <c r="B538">
        <v>1.6752E-2</v>
      </c>
      <c r="C538">
        <v>1769869</v>
      </c>
      <c r="D538">
        <v>5440955</v>
      </c>
    </row>
    <row r="539" spans="1:4" x14ac:dyDescent="0.45">
      <c r="A539" s="1" t="s">
        <v>42</v>
      </c>
      <c r="B539">
        <v>1.7165E-2</v>
      </c>
      <c r="C539">
        <v>1752869</v>
      </c>
      <c r="D539">
        <v>5540594</v>
      </c>
    </row>
    <row r="540" spans="1:4" x14ac:dyDescent="0.45">
      <c r="A540" s="1" t="s">
        <v>43</v>
      </c>
      <c r="B540">
        <v>1.6861000000000001E-2</v>
      </c>
      <c r="C540">
        <v>1738316</v>
      </c>
      <c r="D540">
        <v>5864496</v>
      </c>
    </row>
    <row r="541" spans="1:4" x14ac:dyDescent="0.45">
      <c r="A541" s="1" t="s">
        <v>44</v>
      </c>
      <c r="B541">
        <v>1.7469999999999999E-2</v>
      </c>
      <c r="C541">
        <v>1764038</v>
      </c>
      <c r="D541">
        <v>5488022</v>
      </c>
    </row>
    <row r="542" spans="1:4" x14ac:dyDescent="0.45">
      <c r="A542" s="1" t="s">
        <v>45</v>
      </c>
      <c r="B542">
        <v>1.6815E-2</v>
      </c>
      <c r="C542">
        <v>1768841</v>
      </c>
      <c r="D542">
        <v>5493067</v>
      </c>
    </row>
    <row r="543" spans="1:4" x14ac:dyDescent="0.45">
      <c r="A543" s="1" t="s">
        <v>46</v>
      </c>
      <c r="B543">
        <v>1.7287E-2</v>
      </c>
      <c r="C543">
        <v>1765148</v>
      </c>
      <c r="D543">
        <v>5451215</v>
      </c>
    </row>
    <row r="544" spans="1:4" x14ac:dyDescent="0.45">
      <c r="A544" s="1" t="s">
        <v>47</v>
      </c>
      <c r="B544">
        <v>1.6912E-2</v>
      </c>
      <c r="C544">
        <v>1764400</v>
      </c>
      <c r="D544">
        <v>5497120</v>
      </c>
    </row>
    <row r="545" spans="1:4" x14ac:dyDescent="0.45">
      <c r="A545" s="1" t="s">
        <v>48</v>
      </c>
      <c r="B545">
        <v>1.7076999999999998E-2</v>
      </c>
      <c r="C545">
        <v>1765828</v>
      </c>
      <c r="D545">
        <v>5553193</v>
      </c>
    </row>
    <row r="546" spans="1:4" x14ac:dyDescent="0.45">
      <c r="A546" s="1" t="s">
        <v>49</v>
      </c>
      <c r="B546">
        <v>1.7314E-2</v>
      </c>
      <c r="C546">
        <v>1757045</v>
      </c>
      <c r="D546">
        <v>5621492</v>
      </c>
    </row>
    <row r="547" spans="1:4" x14ac:dyDescent="0.45">
      <c r="A547" s="1" t="s">
        <v>50</v>
      </c>
      <c r="B547">
        <v>1.7413999999999999E-2</v>
      </c>
      <c r="C547">
        <v>1749031</v>
      </c>
      <c r="D547">
        <v>5637488</v>
      </c>
    </row>
    <row r="548" spans="1:4" x14ac:dyDescent="0.45">
      <c r="A548" s="1" t="s">
        <v>51</v>
      </c>
      <c r="B548">
        <v>1.8166000000000002E-2</v>
      </c>
      <c r="C548">
        <v>1762437</v>
      </c>
      <c r="D548">
        <v>5546411</v>
      </c>
    </row>
    <row r="549" spans="1:4" x14ac:dyDescent="0.45">
      <c r="A549" s="1" t="s">
        <v>52</v>
      </c>
      <c r="B549">
        <v>1.7697000000000001E-2</v>
      </c>
      <c r="C549">
        <v>1749729</v>
      </c>
      <c r="D549">
        <v>5657312</v>
      </c>
    </row>
    <row r="550" spans="1:4" x14ac:dyDescent="0.45">
      <c r="A550" s="1" t="s">
        <v>53</v>
      </c>
      <c r="B550">
        <v>1.7742999999999998E-2</v>
      </c>
      <c r="C550">
        <v>1767699</v>
      </c>
      <c r="D550">
        <v>5493137</v>
      </c>
    </row>
    <row r="551" spans="1:4" x14ac:dyDescent="0.45">
      <c r="A551" s="1" t="s">
        <v>54</v>
      </c>
      <c r="B551">
        <v>1.7226999999999999E-2</v>
      </c>
      <c r="C551">
        <v>1751674</v>
      </c>
      <c r="D551">
        <v>5642487</v>
      </c>
    </row>
    <row r="552" spans="1:4" x14ac:dyDescent="0.45">
      <c r="A552" s="1" t="s">
        <v>55</v>
      </c>
      <c r="B552">
        <v>1.7014999999999999E-2</v>
      </c>
      <c r="C552">
        <v>1766148</v>
      </c>
      <c r="D552">
        <v>5414725</v>
      </c>
    </row>
    <row r="553" spans="1:4" x14ac:dyDescent="0.45">
      <c r="A553" s="1" t="s">
        <v>56</v>
      </c>
      <c r="B553">
        <v>1.6990999999999999E-2</v>
      </c>
      <c r="C553">
        <v>1762880</v>
      </c>
      <c r="D553">
        <v>5478845</v>
      </c>
    </row>
    <row r="554" spans="1:4" x14ac:dyDescent="0.45">
      <c r="A554" s="1" t="s">
        <v>66</v>
      </c>
      <c r="B554">
        <f>AVERAGE(B504:B553)</f>
        <v>1.7058980000000005E-2</v>
      </c>
      <c r="C554">
        <f>AVERAGE(C504:C553)</f>
        <v>1760289.28</v>
      </c>
      <c r="D554">
        <f>AVERAGE(D504:D553)</f>
        <v>5522716.2999999998</v>
      </c>
    </row>
    <row r="555" spans="1:4" x14ac:dyDescent="0.45">
      <c r="A555" s="1" t="s">
        <v>67</v>
      </c>
      <c r="B555">
        <f>_xlfn.VAR.S(B504:B553)</f>
        <v>1.456661424489796E-7</v>
      </c>
      <c r="C555">
        <f>_xlfn.VAR.S(C504:C553)</f>
        <v>46579351.51183673</v>
      </c>
      <c r="D555">
        <f>_xlfn.VAR.S(D504:D553)</f>
        <v>9229834666.9489803</v>
      </c>
    </row>
    <row r="556" spans="1:4" x14ac:dyDescent="0.45">
      <c r="A556" s="1" t="s">
        <v>68</v>
      </c>
      <c r="B556">
        <f>MAX(B504:B553)</f>
        <v>1.8166000000000002E-2</v>
      </c>
      <c r="C556">
        <f>MAX(C504:C553)</f>
        <v>1771021</v>
      </c>
      <c r="D556">
        <f>MAX(D504:D553)</f>
        <v>5864496</v>
      </c>
    </row>
    <row r="557" spans="1:4" x14ac:dyDescent="0.45">
      <c r="A557" s="1" t="s">
        <v>58</v>
      </c>
    </row>
    <row r="558" spans="1:4" x14ac:dyDescent="0.45">
      <c r="A558" s="1" t="s">
        <v>7</v>
      </c>
      <c r="B558">
        <v>0.19461100000000001</v>
      </c>
      <c r="C558">
        <v>19964995</v>
      </c>
      <c r="D558">
        <v>65299476</v>
      </c>
    </row>
    <row r="559" spans="1:4" x14ac:dyDescent="0.45">
      <c r="A559" s="1" t="s">
        <v>8</v>
      </c>
      <c r="B559">
        <v>0.19603899999999999</v>
      </c>
      <c r="C559">
        <v>20015395</v>
      </c>
      <c r="D559">
        <v>64520781</v>
      </c>
    </row>
    <row r="560" spans="1:4" x14ac:dyDescent="0.45">
      <c r="A560" s="1" t="s">
        <v>9</v>
      </c>
      <c r="B560">
        <v>0.19528200000000001</v>
      </c>
      <c r="C560">
        <v>19937070</v>
      </c>
      <c r="D560">
        <v>65033183</v>
      </c>
    </row>
    <row r="561" spans="1:4" x14ac:dyDescent="0.45">
      <c r="A561" s="1" t="s">
        <v>10</v>
      </c>
      <c r="B561">
        <v>0.19813700000000001</v>
      </c>
      <c r="C561">
        <v>19928651</v>
      </c>
      <c r="D561">
        <v>65512152</v>
      </c>
    </row>
    <row r="562" spans="1:4" x14ac:dyDescent="0.45">
      <c r="A562" s="1" t="s">
        <v>11</v>
      </c>
      <c r="B562">
        <v>0.19947000000000001</v>
      </c>
      <c r="C562">
        <v>19966083</v>
      </c>
      <c r="D562">
        <v>64959240</v>
      </c>
    </row>
    <row r="563" spans="1:4" x14ac:dyDescent="0.45">
      <c r="A563" s="1" t="s">
        <v>12</v>
      </c>
      <c r="B563">
        <v>0.19730600000000001</v>
      </c>
      <c r="C563">
        <v>19815737</v>
      </c>
      <c r="D563">
        <v>66941601</v>
      </c>
    </row>
    <row r="564" spans="1:4" x14ac:dyDescent="0.45">
      <c r="A564" s="1" t="s">
        <v>13</v>
      </c>
      <c r="B564">
        <v>0.19577900000000001</v>
      </c>
      <c r="C564">
        <v>19952781</v>
      </c>
      <c r="D564">
        <v>64690466</v>
      </c>
    </row>
    <row r="565" spans="1:4" x14ac:dyDescent="0.45">
      <c r="A565" s="1" t="s">
        <v>14</v>
      </c>
      <c r="B565">
        <v>0.197021</v>
      </c>
      <c r="C565">
        <v>20047463</v>
      </c>
      <c r="D565">
        <v>64835940</v>
      </c>
    </row>
    <row r="566" spans="1:4" x14ac:dyDescent="0.45">
      <c r="A566" s="1" t="s">
        <v>15</v>
      </c>
      <c r="B566">
        <v>0.196601</v>
      </c>
      <c r="C566">
        <v>19921261</v>
      </c>
      <c r="D566">
        <v>65663057</v>
      </c>
    </row>
    <row r="567" spans="1:4" x14ac:dyDescent="0.45">
      <c r="A567" s="1" t="s">
        <v>16</v>
      </c>
      <c r="B567">
        <v>0.20222499999999999</v>
      </c>
      <c r="C567">
        <v>20030025</v>
      </c>
      <c r="D567">
        <v>64752673</v>
      </c>
    </row>
    <row r="568" spans="1:4" x14ac:dyDescent="0.45">
      <c r="A568" s="1" t="s">
        <v>17</v>
      </c>
      <c r="B568">
        <v>0.19664799999999999</v>
      </c>
      <c r="C568">
        <v>19843982</v>
      </c>
      <c r="D568">
        <v>66568600</v>
      </c>
    </row>
    <row r="569" spans="1:4" x14ac:dyDescent="0.45">
      <c r="A569" s="1" t="s">
        <v>18</v>
      </c>
      <c r="B569">
        <v>0.19443099999999999</v>
      </c>
      <c r="C569">
        <v>19894696</v>
      </c>
      <c r="D569">
        <v>64892792</v>
      </c>
    </row>
    <row r="570" spans="1:4" x14ac:dyDescent="0.45">
      <c r="A570" s="1" t="s">
        <v>19</v>
      </c>
      <c r="B570">
        <v>0.19710800000000001</v>
      </c>
      <c r="C570">
        <v>19973894</v>
      </c>
      <c r="D570">
        <v>65186427</v>
      </c>
    </row>
    <row r="571" spans="1:4" x14ac:dyDescent="0.45">
      <c r="A571" s="1" t="s">
        <v>20</v>
      </c>
      <c r="B571">
        <v>0.198908</v>
      </c>
      <c r="C571">
        <v>19888096</v>
      </c>
      <c r="D571">
        <v>65566203</v>
      </c>
    </row>
    <row r="572" spans="1:4" x14ac:dyDescent="0.45">
      <c r="A572" s="1" t="s">
        <v>21</v>
      </c>
      <c r="B572">
        <v>0.19777500000000001</v>
      </c>
      <c r="C572">
        <v>20035031</v>
      </c>
      <c r="D572">
        <v>64472876</v>
      </c>
    </row>
    <row r="573" spans="1:4" x14ac:dyDescent="0.45">
      <c r="A573" s="1" t="s">
        <v>22</v>
      </c>
      <c r="B573">
        <v>0.19432199999999999</v>
      </c>
      <c r="C573">
        <v>19900082</v>
      </c>
      <c r="D573">
        <v>65143121</v>
      </c>
    </row>
    <row r="574" spans="1:4" x14ac:dyDescent="0.45">
      <c r="A574" s="1" t="s">
        <v>23</v>
      </c>
      <c r="B574">
        <v>0.19741900000000001</v>
      </c>
      <c r="C574">
        <v>19898180</v>
      </c>
      <c r="D574">
        <v>64817491</v>
      </c>
    </row>
    <row r="575" spans="1:4" x14ac:dyDescent="0.45">
      <c r="A575" s="1" t="s">
        <v>24</v>
      </c>
      <c r="B575">
        <v>0.19575200000000001</v>
      </c>
      <c r="C575">
        <v>19907066</v>
      </c>
      <c r="D575">
        <v>67036126</v>
      </c>
    </row>
    <row r="576" spans="1:4" x14ac:dyDescent="0.45">
      <c r="A576" s="1" t="s">
        <v>25</v>
      </c>
      <c r="B576">
        <v>0.199543</v>
      </c>
      <c r="C576">
        <v>19873995</v>
      </c>
      <c r="D576">
        <v>65854736</v>
      </c>
    </row>
    <row r="577" spans="1:4" x14ac:dyDescent="0.45">
      <c r="A577" s="1" t="s">
        <v>26</v>
      </c>
      <c r="B577">
        <v>0.19916400000000001</v>
      </c>
      <c r="C577">
        <v>20045143</v>
      </c>
      <c r="D577">
        <v>64366905</v>
      </c>
    </row>
    <row r="578" spans="1:4" x14ac:dyDescent="0.45">
      <c r="A578" s="1" t="s">
        <v>27</v>
      </c>
      <c r="B578">
        <v>0.196631</v>
      </c>
      <c r="C578">
        <v>19979414</v>
      </c>
      <c r="D578">
        <v>64987027</v>
      </c>
    </row>
    <row r="579" spans="1:4" x14ac:dyDescent="0.45">
      <c r="A579" s="1" t="s">
        <v>28</v>
      </c>
      <c r="B579">
        <v>0.19591900000000001</v>
      </c>
      <c r="C579">
        <v>19900316</v>
      </c>
      <c r="D579">
        <v>65151733</v>
      </c>
    </row>
    <row r="580" spans="1:4" x14ac:dyDescent="0.45">
      <c r="A580" s="1" t="s">
        <v>29</v>
      </c>
      <c r="B580">
        <v>0.20122100000000001</v>
      </c>
      <c r="C580">
        <v>20018348</v>
      </c>
      <c r="D580">
        <v>64333115</v>
      </c>
    </row>
    <row r="581" spans="1:4" x14ac:dyDescent="0.45">
      <c r="A581" s="1" t="s">
        <v>30</v>
      </c>
      <c r="B581">
        <v>0.201298</v>
      </c>
      <c r="C581">
        <v>19991718</v>
      </c>
      <c r="D581">
        <v>64122749</v>
      </c>
    </row>
    <row r="582" spans="1:4" x14ac:dyDescent="0.45">
      <c r="A582" s="1" t="s">
        <v>31</v>
      </c>
      <c r="B582">
        <v>0.196519</v>
      </c>
      <c r="C582">
        <v>19845096</v>
      </c>
      <c r="D582">
        <v>65909438</v>
      </c>
    </row>
    <row r="583" spans="1:4" x14ac:dyDescent="0.45">
      <c r="A583" s="1" t="s">
        <v>32</v>
      </c>
      <c r="B583">
        <v>0.19572600000000001</v>
      </c>
      <c r="C583">
        <v>20056470</v>
      </c>
      <c r="D583">
        <v>64317471</v>
      </c>
    </row>
    <row r="584" spans="1:4" x14ac:dyDescent="0.45">
      <c r="A584" s="1" t="s">
        <v>33</v>
      </c>
      <c r="B584">
        <v>0.19691600000000001</v>
      </c>
      <c r="C584">
        <v>19929491</v>
      </c>
      <c r="D584">
        <v>65952926</v>
      </c>
    </row>
    <row r="585" spans="1:4" x14ac:dyDescent="0.45">
      <c r="A585" s="1" t="s">
        <v>34</v>
      </c>
      <c r="B585">
        <v>0.19630800000000001</v>
      </c>
      <c r="C585">
        <v>19910605</v>
      </c>
      <c r="D585">
        <v>65138789</v>
      </c>
    </row>
    <row r="586" spans="1:4" x14ac:dyDescent="0.45">
      <c r="A586" s="1" t="s">
        <v>35</v>
      </c>
      <c r="B586">
        <v>0.19650500000000001</v>
      </c>
      <c r="C586">
        <v>19924550</v>
      </c>
      <c r="D586">
        <v>65503995</v>
      </c>
    </row>
    <row r="587" spans="1:4" x14ac:dyDescent="0.45">
      <c r="A587" s="1" t="s">
        <v>36</v>
      </c>
      <c r="B587">
        <v>0.19661799999999999</v>
      </c>
      <c r="C587">
        <v>20003616</v>
      </c>
      <c r="D587">
        <v>64700705</v>
      </c>
    </row>
    <row r="588" spans="1:4" x14ac:dyDescent="0.45">
      <c r="A588" s="1" t="s">
        <v>37</v>
      </c>
      <c r="B588">
        <v>0.198467</v>
      </c>
      <c r="C588">
        <v>19935754</v>
      </c>
      <c r="D588">
        <v>64897670</v>
      </c>
    </row>
    <row r="589" spans="1:4" x14ac:dyDescent="0.45">
      <c r="A589" s="1" t="s">
        <v>38</v>
      </c>
      <c r="B589">
        <v>0.19740199999999999</v>
      </c>
      <c r="C589">
        <v>19918095</v>
      </c>
      <c r="D589">
        <v>65850840</v>
      </c>
    </row>
    <row r="590" spans="1:4" x14ac:dyDescent="0.45">
      <c r="A590" s="1" t="s">
        <v>39</v>
      </c>
      <c r="B590">
        <v>0.19819100000000001</v>
      </c>
      <c r="C590">
        <v>20016116</v>
      </c>
      <c r="D590">
        <v>64145426</v>
      </c>
    </row>
    <row r="591" spans="1:4" x14ac:dyDescent="0.45">
      <c r="A591" s="1" t="s">
        <v>40</v>
      </c>
      <c r="B591">
        <v>0.20091600000000001</v>
      </c>
      <c r="C591">
        <v>19936908</v>
      </c>
      <c r="D591">
        <v>64969393</v>
      </c>
    </row>
    <row r="592" spans="1:4" x14ac:dyDescent="0.45">
      <c r="A592" s="1" t="s">
        <v>41</v>
      </c>
      <c r="B592">
        <v>0.20133599999999999</v>
      </c>
      <c r="C592">
        <v>20012301</v>
      </c>
      <c r="D592">
        <v>64393952</v>
      </c>
    </row>
    <row r="593" spans="1:4" x14ac:dyDescent="0.45">
      <c r="A593" s="1" t="s">
        <v>42</v>
      </c>
      <c r="B593">
        <v>0.19639799999999999</v>
      </c>
      <c r="C593">
        <v>20021019</v>
      </c>
      <c r="D593">
        <v>64205227</v>
      </c>
    </row>
    <row r="594" spans="1:4" x14ac:dyDescent="0.45">
      <c r="A594" s="1" t="s">
        <v>43</v>
      </c>
      <c r="B594">
        <v>0.198046</v>
      </c>
      <c r="C594">
        <v>19857128</v>
      </c>
      <c r="D594">
        <v>66775444</v>
      </c>
    </row>
    <row r="595" spans="1:4" x14ac:dyDescent="0.45">
      <c r="A595" s="1" t="s">
        <v>44</v>
      </c>
      <c r="B595">
        <v>0.196522</v>
      </c>
      <c r="C595">
        <v>20007967</v>
      </c>
      <c r="D595">
        <v>64328957</v>
      </c>
    </row>
    <row r="596" spans="1:4" x14ac:dyDescent="0.45">
      <c r="A596" s="1" t="s">
        <v>45</v>
      </c>
      <c r="B596">
        <v>0.19892000000000001</v>
      </c>
      <c r="C596">
        <v>19962681</v>
      </c>
      <c r="D596">
        <v>65011535</v>
      </c>
    </row>
    <row r="597" spans="1:4" x14ac:dyDescent="0.45">
      <c r="A597" s="1" t="s">
        <v>46</v>
      </c>
      <c r="B597">
        <v>0.195907</v>
      </c>
      <c r="C597">
        <v>19770926</v>
      </c>
      <c r="D597">
        <v>66600364</v>
      </c>
    </row>
    <row r="598" spans="1:4" x14ac:dyDescent="0.45">
      <c r="A598" s="1" t="s">
        <v>47</v>
      </c>
      <c r="B598">
        <v>0.197105</v>
      </c>
      <c r="C598">
        <v>20076350</v>
      </c>
      <c r="D598">
        <v>64426833</v>
      </c>
    </row>
    <row r="599" spans="1:4" x14ac:dyDescent="0.45">
      <c r="A599" s="1" t="s">
        <v>48</v>
      </c>
      <c r="B599">
        <v>0.19528100000000001</v>
      </c>
      <c r="C599">
        <v>19975670</v>
      </c>
      <c r="D599">
        <v>65087683</v>
      </c>
    </row>
    <row r="600" spans="1:4" x14ac:dyDescent="0.45">
      <c r="A600" s="1" t="s">
        <v>49</v>
      </c>
      <c r="B600">
        <v>0.204037</v>
      </c>
      <c r="C600">
        <v>19934851</v>
      </c>
      <c r="D600">
        <v>64808405</v>
      </c>
    </row>
    <row r="601" spans="1:4" x14ac:dyDescent="0.45">
      <c r="A601" s="1" t="s">
        <v>50</v>
      </c>
      <c r="B601">
        <v>0.19916800000000001</v>
      </c>
      <c r="C601">
        <v>19987133</v>
      </c>
      <c r="D601">
        <v>64707118</v>
      </c>
    </row>
    <row r="602" spans="1:4" x14ac:dyDescent="0.45">
      <c r="A602" s="1" t="s">
        <v>51</v>
      </c>
      <c r="B602">
        <v>0.19467400000000001</v>
      </c>
      <c r="C602">
        <v>19900415</v>
      </c>
      <c r="D602">
        <v>65452723</v>
      </c>
    </row>
    <row r="603" spans="1:4" x14ac:dyDescent="0.45">
      <c r="A603" s="1" t="s">
        <v>52</v>
      </c>
      <c r="B603">
        <v>0.19502700000000001</v>
      </c>
      <c r="C603">
        <v>20002247</v>
      </c>
      <c r="D603">
        <v>65619850</v>
      </c>
    </row>
    <row r="604" spans="1:4" x14ac:dyDescent="0.45">
      <c r="A604" s="1" t="s">
        <v>53</v>
      </c>
      <c r="B604">
        <v>0.196188</v>
      </c>
      <c r="C604">
        <v>19949053</v>
      </c>
      <c r="D604">
        <v>65301069</v>
      </c>
    </row>
    <row r="605" spans="1:4" x14ac:dyDescent="0.45">
      <c r="A605" s="1" t="s">
        <v>54</v>
      </c>
      <c r="B605">
        <v>0.19493099999999999</v>
      </c>
      <c r="C605">
        <v>19867779</v>
      </c>
      <c r="D605">
        <v>65905364</v>
      </c>
    </row>
    <row r="606" spans="1:4" x14ac:dyDescent="0.45">
      <c r="A606" s="1" t="s">
        <v>55</v>
      </c>
      <c r="B606">
        <v>0.20053000000000001</v>
      </c>
      <c r="C606">
        <v>19944036</v>
      </c>
      <c r="D606">
        <v>65259199</v>
      </c>
    </row>
    <row r="607" spans="1:4" x14ac:dyDescent="0.45">
      <c r="A607" s="1" t="s">
        <v>56</v>
      </c>
      <c r="B607">
        <v>0.19864499999999999</v>
      </c>
      <c r="C607">
        <v>19960058</v>
      </c>
      <c r="D607">
        <v>65063573</v>
      </c>
    </row>
    <row r="608" spans="1:4" x14ac:dyDescent="0.45">
      <c r="A608" s="1" t="s">
        <v>66</v>
      </c>
      <c r="B608">
        <f>AVERAGE(B558:B607)</f>
        <v>0.19749786000000003</v>
      </c>
      <c r="C608">
        <f>AVERAGE(C558:C607)</f>
        <v>19948714.739999998</v>
      </c>
      <c r="D608">
        <f>AVERAGE(D558:D607)</f>
        <v>65180848.380000003</v>
      </c>
    </row>
    <row r="609" spans="1:4" x14ac:dyDescent="0.45">
      <c r="A609" s="1" t="s">
        <v>67</v>
      </c>
      <c r="B609">
        <f>_xlfn.VAR.S(B558:B607)</f>
        <v>4.8166107759183662E-6</v>
      </c>
      <c r="C609">
        <f>_xlfn.VAR.S(C558:C607)</f>
        <v>4380535843.9514284</v>
      </c>
      <c r="D609">
        <f>_xlfn.VAR.S(D558:D607)</f>
        <v>535464974685.9953</v>
      </c>
    </row>
    <row r="610" spans="1:4" x14ac:dyDescent="0.45">
      <c r="A610" s="1" t="s">
        <v>68</v>
      </c>
      <c r="B610">
        <f>MAX(B558:B607)</f>
        <v>0.204037</v>
      </c>
      <c r="C610">
        <f>MAX(C558:C607)</f>
        <v>20076350</v>
      </c>
      <c r="D610">
        <f>MAX(D558:D607)</f>
        <v>67036126</v>
      </c>
    </row>
    <row r="611" spans="1:4" x14ac:dyDescent="0.45">
      <c r="A611" s="1" t="s">
        <v>59</v>
      </c>
    </row>
    <row r="612" spans="1:4" x14ac:dyDescent="0.45">
      <c r="A612" s="1" t="s">
        <v>7</v>
      </c>
      <c r="B612">
        <v>2.2574480000000001</v>
      </c>
      <c r="C612">
        <v>223529475</v>
      </c>
      <c r="D612">
        <v>745770347</v>
      </c>
    </row>
    <row r="613" spans="1:4" x14ac:dyDescent="0.45">
      <c r="A613" s="1" t="s">
        <v>8</v>
      </c>
      <c r="B613">
        <v>2.262054</v>
      </c>
      <c r="C613">
        <v>222619886</v>
      </c>
      <c r="D613">
        <v>749642315</v>
      </c>
    </row>
    <row r="614" spans="1:4" x14ac:dyDescent="0.45">
      <c r="A614" s="1" t="s">
        <v>9</v>
      </c>
      <c r="B614">
        <v>2.2844190000000002</v>
      </c>
      <c r="C614">
        <v>222689202</v>
      </c>
      <c r="D614">
        <v>756785979</v>
      </c>
    </row>
    <row r="615" spans="1:4" x14ac:dyDescent="0.45">
      <c r="A615" s="1" t="s">
        <v>10</v>
      </c>
      <c r="B615">
        <v>2.2563849999999999</v>
      </c>
      <c r="C615">
        <v>223392440</v>
      </c>
      <c r="D615">
        <v>749619072</v>
      </c>
    </row>
    <row r="616" spans="1:4" x14ac:dyDescent="0.45">
      <c r="A616" s="1" t="s">
        <v>11</v>
      </c>
      <c r="B616">
        <v>2.275874</v>
      </c>
      <c r="C616">
        <v>222905297</v>
      </c>
      <c r="D616">
        <v>754737585</v>
      </c>
    </row>
    <row r="617" spans="1:4" x14ac:dyDescent="0.45">
      <c r="A617" s="1" t="s">
        <v>12</v>
      </c>
      <c r="B617">
        <v>2.2693500000000002</v>
      </c>
      <c r="C617">
        <v>223630848</v>
      </c>
      <c r="D617">
        <v>746902256</v>
      </c>
    </row>
    <row r="618" spans="1:4" x14ac:dyDescent="0.45">
      <c r="A618" s="1" t="s">
        <v>13</v>
      </c>
      <c r="B618">
        <v>2.257838</v>
      </c>
      <c r="C618">
        <v>221924333</v>
      </c>
      <c r="D618">
        <v>766857913</v>
      </c>
    </row>
    <row r="619" spans="1:4" x14ac:dyDescent="0.45">
      <c r="A619" s="1" t="s">
        <v>14</v>
      </c>
      <c r="B619">
        <v>2.2620290000000001</v>
      </c>
      <c r="C619">
        <v>223426002</v>
      </c>
      <c r="D619">
        <v>756273515</v>
      </c>
    </row>
    <row r="620" spans="1:4" x14ac:dyDescent="0.45">
      <c r="A620" s="1" t="s">
        <v>15</v>
      </c>
      <c r="B620">
        <v>2.2640310000000001</v>
      </c>
      <c r="C620">
        <v>222477194</v>
      </c>
      <c r="D620">
        <v>758752401</v>
      </c>
    </row>
    <row r="621" spans="1:4" x14ac:dyDescent="0.45">
      <c r="A621" s="1" t="s">
        <v>16</v>
      </c>
      <c r="B621">
        <v>2.2565309999999998</v>
      </c>
      <c r="C621">
        <v>223188008</v>
      </c>
      <c r="D621">
        <v>751309345</v>
      </c>
    </row>
    <row r="622" spans="1:4" x14ac:dyDescent="0.45">
      <c r="A622" s="1" t="s">
        <v>17</v>
      </c>
      <c r="B622">
        <v>2.2531840000000001</v>
      </c>
      <c r="C622">
        <v>223988299</v>
      </c>
      <c r="D622">
        <v>748453666</v>
      </c>
    </row>
    <row r="623" spans="1:4" x14ac:dyDescent="0.45">
      <c r="A623" s="1" t="s">
        <v>18</v>
      </c>
      <c r="B623">
        <v>2.2570760000000001</v>
      </c>
      <c r="C623">
        <v>222786090</v>
      </c>
      <c r="D623">
        <v>762117460</v>
      </c>
    </row>
    <row r="624" spans="1:4" x14ac:dyDescent="0.45">
      <c r="A624" s="1" t="s">
        <v>19</v>
      </c>
      <c r="B624">
        <v>2.2543950000000001</v>
      </c>
      <c r="C624">
        <v>222859909</v>
      </c>
      <c r="D624">
        <v>755101016</v>
      </c>
    </row>
    <row r="625" spans="1:4" x14ac:dyDescent="0.45">
      <c r="A625" s="1" t="s">
        <v>20</v>
      </c>
      <c r="B625">
        <v>2.2747220000000001</v>
      </c>
      <c r="C625">
        <v>223798052</v>
      </c>
      <c r="D625">
        <v>768074572</v>
      </c>
    </row>
    <row r="626" spans="1:4" x14ac:dyDescent="0.45">
      <c r="A626" s="1" t="s">
        <v>21</v>
      </c>
      <c r="B626">
        <v>2.2530890000000001</v>
      </c>
      <c r="C626">
        <v>222784637</v>
      </c>
      <c r="D626">
        <v>751080308</v>
      </c>
    </row>
    <row r="627" spans="1:4" x14ac:dyDescent="0.45">
      <c r="A627" s="1" t="s">
        <v>22</v>
      </c>
      <c r="B627">
        <v>2.2679719999999999</v>
      </c>
      <c r="C627">
        <v>222602273</v>
      </c>
      <c r="D627">
        <v>764111809</v>
      </c>
    </row>
    <row r="628" spans="1:4" x14ac:dyDescent="0.45">
      <c r="A628" s="1" t="s">
        <v>23</v>
      </c>
      <c r="B628">
        <v>2.2618130000000001</v>
      </c>
      <c r="C628">
        <v>222666245</v>
      </c>
      <c r="D628">
        <v>746702092</v>
      </c>
    </row>
    <row r="629" spans="1:4" x14ac:dyDescent="0.45">
      <c r="A629" s="1" t="s">
        <v>24</v>
      </c>
      <c r="B629">
        <v>2.2509070000000002</v>
      </c>
      <c r="C629">
        <v>223798444</v>
      </c>
      <c r="D629">
        <v>745436652</v>
      </c>
    </row>
    <row r="630" spans="1:4" x14ac:dyDescent="0.45">
      <c r="A630" s="1" t="s">
        <v>25</v>
      </c>
      <c r="B630">
        <v>2.2693110000000001</v>
      </c>
      <c r="C630">
        <v>221932303</v>
      </c>
      <c r="D630">
        <v>763716759</v>
      </c>
    </row>
    <row r="631" spans="1:4" x14ac:dyDescent="0.45">
      <c r="A631" s="1" t="s">
        <v>26</v>
      </c>
      <c r="B631">
        <v>2.2756280000000002</v>
      </c>
      <c r="C631">
        <v>221171529</v>
      </c>
      <c r="D631">
        <v>777930182</v>
      </c>
    </row>
    <row r="632" spans="1:4" x14ac:dyDescent="0.45">
      <c r="A632" s="1" t="s">
        <v>27</v>
      </c>
      <c r="B632">
        <v>2.2577180000000001</v>
      </c>
      <c r="C632">
        <v>223156972</v>
      </c>
      <c r="D632">
        <v>753784204</v>
      </c>
    </row>
    <row r="633" spans="1:4" x14ac:dyDescent="0.45">
      <c r="A633" s="1" t="s">
        <v>28</v>
      </c>
      <c r="B633">
        <v>2.2408350000000001</v>
      </c>
      <c r="C633">
        <v>222894901</v>
      </c>
      <c r="D633">
        <v>750970137</v>
      </c>
    </row>
    <row r="634" spans="1:4" x14ac:dyDescent="0.45">
      <c r="A634" s="1" t="s">
        <v>29</v>
      </c>
      <c r="B634">
        <v>2.2752020000000002</v>
      </c>
      <c r="C634">
        <v>222373267</v>
      </c>
      <c r="D634">
        <v>783628346</v>
      </c>
    </row>
    <row r="635" spans="1:4" x14ac:dyDescent="0.45">
      <c r="A635" s="1" t="s">
        <v>30</v>
      </c>
      <c r="B635">
        <v>2.268659</v>
      </c>
      <c r="C635">
        <v>223249205</v>
      </c>
      <c r="D635">
        <v>752348017</v>
      </c>
    </row>
    <row r="636" spans="1:4" x14ac:dyDescent="0.45">
      <c r="A636" s="1" t="s">
        <v>31</v>
      </c>
      <c r="B636">
        <v>2.2735650000000001</v>
      </c>
      <c r="C636">
        <v>223158988</v>
      </c>
      <c r="D636">
        <v>751655637</v>
      </c>
    </row>
    <row r="637" spans="1:4" x14ac:dyDescent="0.45">
      <c r="A637" s="1" t="s">
        <v>32</v>
      </c>
      <c r="B637">
        <v>2.2637619999999998</v>
      </c>
      <c r="C637">
        <v>221923065</v>
      </c>
      <c r="D637">
        <v>766612918</v>
      </c>
    </row>
    <row r="638" spans="1:4" x14ac:dyDescent="0.45">
      <c r="A638" s="1" t="s">
        <v>33</v>
      </c>
      <c r="B638">
        <v>2.2478940000000001</v>
      </c>
      <c r="C638">
        <v>223378015</v>
      </c>
      <c r="D638">
        <v>743750293</v>
      </c>
    </row>
    <row r="639" spans="1:4" x14ac:dyDescent="0.45">
      <c r="A639" s="1" t="s">
        <v>34</v>
      </c>
      <c r="B639">
        <v>2.2489919999999999</v>
      </c>
      <c r="C639">
        <v>222916629</v>
      </c>
      <c r="D639">
        <v>754306995</v>
      </c>
    </row>
    <row r="640" spans="1:4" x14ac:dyDescent="0.45">
      <c r="A640" s="1" t="s">
        <v>35</v>
      </c>
      <c r="B640">
        <v>2.258162</v>
      </c>
      <c r="C640">
        <v>223018973</v>
      </c>
      <c r="D640">
        <v>744256978</v>
      </c>
    </row>
    <row r="641" spans="1:4" x14ac:dyDescent="0.45">
      <c r="A641" s="1" t="s">
        <v>36</v>
      </c>
      <c r="B641">
        <v>2.2701389999999999</v>
      </c>
      <c r="C641">
        <v>222714121</v>
      </c>
      <c r="D641">
        <v>756944132</v>
      </c>
    </row>
    <row r="642" spans="1:4" x14ac:dyDescent="0.45">
      <c r="A642" s="1" t="s">
        <v>37</v>
      </c>
      <c r="B642">
        <v>2.266813</v>
      </c>
      <c r="C642">
        <v>223748398</v>
      </c>
      <c r="D642">
        <v>745234256</v>
      </c>
    </row>
    <row r="643" spans="1:4" x14ac:dyDescent="0.45">
      <c r="A643" s="1" t="s">
        <v>38</v>
      </c>
      <c r="B643">
        <v>2.2455669999999999</v>
      </c>
      <c r="C643">
        <v>222461422</v>
      </c>
      <c r="D643">
        <v>756394526</v>
      </c>
    </row>
    <row r="644" spans="1:4" x14ac:dyDescent="0.45">
      <c r="A644" s="1" t="s">
        <v>39</v>
      </c>
      <c r="B644">
        <v>2.261209</v>
      </c>
      <c r="C644">
        <v>224348118</v>
      </c>
      <c r="D644">
        <v>743534146</v>
      </c>
    </row>
    <row r="645" spans="1:4" x14ac:dyDescent="0.45">
      <c r="A645" s="1" t="s">
        <v>40</v>
      </c>
      <c r="B645">
        <v>2.2459989999999999</v>
      </c>
      <c r="C645">
        <v>223087492</v>
      </c>
      <c r="D645">
        <v>747860110</v>
      </c>
    </row>
    <row r="646" spans="1:4" x14ac:dyDescent="0.45">
      <c r="A646" s="1" t="s">
        <v>41</v>
      </c>
      <c r="B646">
        <v>2.307283</v>
      </c>
      <c r="C646">
        <v>222695803</v>
      </c>
      <c r="D646">
        <v>775961305</v>
      </c>
    </row>
    <row r="647" spans="1:4" x14ac:dyDescent="0.45">
      <c r="A647" s="1" t="s">
        <v>42</v>
      </c>
      <c r="B647">
        <v>2.3379050000000001</v>
      </c>
      <c r="C647">
        <v>222966977</v>
      </c>
      <c r="D647">
        <v>744721811</v>
      </c>
    </row>
    <row r="648" spans="1:4" x14ac:dyDescent="0.45">
      <c r="A648" s="1" t="s">
        <v>43</v>
      </c>
      <c r="B648">
        <v>2.3743110000000001</v>
      </c>
      <c r="C648">
        <v>222687586</v>
      </c>
      <c r="D648">
        <v>746094645</v>
      </c>
    </row>
    <row r="649" spans="1:4" x14ac:dyDescent="0.45">
      <c r="A649" s="1" t="s">
        <v>44</v>
      </c>
      <c r="B649">
        <v>2.340147</v>
      </c>
      <c r="C649">
        <v>222231750</v>
      </c>
      <c r="D649">
        <v>755504649</v>
      </c>
    </row>
    <row r="650" spans="1:4" x14ac:dyDescent="0.45">
      <c r="A650" s="1" t="s">
        <v>45</v>
      </c>
      <c r="B650">
        <v>2.3548659999999999</v>
      </c>
      <c r="C650">
        <v>221901726</v>
      </c>
      <c r="D650">
        <v>765190235</v>
      </c>
    </row>
    <row r="651" spans="1:4" x14ac:dyDescent="0.45">
      <c r="A651" s="1" t="s">
        <v>46</v>
      </c>
      <c r="B651">
        <v>2.2649089999999998</v>
      </c>
      <c r="C651">
        <v>222677201</v>
      </c>
      <c r="D651">
        <v>746867670</v>
      </c>
    </row>
    <row r="652" spans="1:4" x14ac:dyDescent="0.45">
      <c r="A652" s="1" t="s">
        <v>47</v>
      </c>
      <c r="B652">
        <v>2.2632889999999999</v>
      </c>
      <c r="C652">
        <v>222511635</v>
      </c>
      <c r="D652">
        <v>763347125</v>
      </c>
    </row>
    <row r="653" spans="1:4" x14ac:dyDescent="0.45">
      <c r="A653" s="1" t="s">
        <v>48</v>
      </c>
      <c r="B653">
        <v>2.2455099999999999</v>
      </c>
      <c r="C653">
        <v>222989044</v>
      </c>
      <c r="D653">
        <v>751428664</v>
      </c>
    </row>
    <row r="654" spans="1:4" x14ac:dyDescent="0.45">
      <c r="A654" s="1" t="s">
        <v>49</v>
      </c>
      <c r="B654">
        <v>2.2535289999999999</v>
      </c>
      <c r="C654">
        <v>222580363</v>
      </c>
      <c r="D654">
        <v>755096745</v>
      </c>
    </row>
    <row r="655" spans="1:4" x14ac:dyDescent="0.45">
      <c r="A655" s="1" t="s">
        <v>50</v>
      </c>
      <c r="B655">
        <v>2.2652559999999999</v>
      </c>
      <c r="C655">
        <v>222597784</v>
      </c>
      <c r="D655">
        <v>755185789</v>
      </c>
    </row>
    <row r="656" spans="1:4" x14ac:dyDescent="0.45">
      <c r="A656" s="1" t="s">
        <v>51</v>
      </c>
      <c r="B656">
        <v>2.2420390000000001</v>
      </c>
      <c r="C656">
        <v>222773270</v>
      </c>
      <c r="D656">
        <v>751303251</v>
      </c>
    </row>
    <row r="657" spans="1:4" x14ac:dyDescent="0.45">
      <c r="A657" s="1" t="s">
        <v>52</v>
      </c>
      <c r="B657">
        <v>2.2540049999999998</v>
      </c>
      <c r="C657">
        <v>223400920</v>
      </c>
      <c r="D657">
        <v>746763705</v>
      </c>
    </row>
    <row r="658" spans="1:4" x14ac:dyDescent="0.45">
      <c r="A658" s="1" t="s">
        <v>53</v>
      </c>
      <c r="B658">
        <v>2.2394850000000002</v>
      </c>
      <c r="C658">
        <v>223561478</v>
      </c>
      <c r="D658">
        <v>741477305</v>
      </c>
    </row>
    <row r="659" spans="1:4" x14ac:dyDescent="0.45">
      <c r="A659" s="1" t="s">
        <v>54</v>
      </c>
      <c r="B659">
        <v>2.2582710000000001</v>
      </c>
      <c r="C659">
        <v>223813973</v>
      </c>
      <c r="D659">
        <v>746163531</v>
      </c>
    </row>
    <row r="660" spans="1:4" x14ac:dyDescent="0.45">
      <c r="A660" s="1" t="s">
        <v>55</v>
      </c>
      <c r="B660">
        <v>2.2541530000000001</v>
      </c>
      <c r="C660">
        <v>222026212</v>
      </c>
      <c r="D660">
        <v>754468127</v>
      </c>
    </row>
    <row r="661" spans="1:4" x14ac:dyDescent="0.45">
      <c r="A661" s="1" t="s">
        <v>56</v>
      </c>
      <c r="B661">
        <v>2.2444410000000001</v>
      </c>
      <c r="C661">
        <v>221899961</v>
      </c>
      <c r="D661">
        <v>761899478</v>
      </c>
    </row>
    <row r="662" spans="1:4" x14ac:dyDescent="0.45">
      <c r="A662" s="1" t="s">
        <v>66</v>
      </c>
      <c r="B662">
        <f>AVERAGE(B612:B661)</f>
        <v>2.26775942</v>
      </c>
      <c r="C662">
        <f>AVERAGE(C612:C661)</f>
        <v>222878314.30000001</v>
      </c>
      <c r="D662">
        <f>AVERAGE(D612:D661)</f>
        <v>754642599.48000002</v>
      </c>
    </row>
    <row r="663" spans="1:4" x14ac:dyDescent="0.45">
      <c r="A663" s="1" t="s">
        <v>67</v>
      </c>
      <c r="B663">
        <f>_xlfn.VAR.S(B612:B661)</f>
        <v>7.8955913694244892E-4</v>
      </c>
      <c r="C663">
        <f>_xlfn.VAR.S(C612:C661)</f>
        <v>402131348827.68378</v>
      </c>
      <c r="D663">
        <f>_xlfn.VAR.S(D612:D661)</f>
        <v>87426405305339.25</v>
      </c>
    </row>
    <row r="664" spans="1:4" x14ac:dyDescent="0.45">
      <c r="A664" s="1" t="s">
        <v>68</v>
      </c>
      <c r="B664">
        <f>MAX(B612:B661)</f>
        <v>2.3743110000000001</v>
      </c>
      <c r="C664">
        <f>MAX(C612:C661)</f>
        <v>224348118</v>
      </c>
      <c r="D664">
        <f>MAX(D612:D661)</f>
        <v>783628346</v>
      </c>
    </row>
    <row r="665" spans="1:4" x14ac:dyDescent="0.45">
      <c r="A665" s="1" t="s">
        <v>62</v>
      </c>
    </row>
    <row r="666" spans="1:4" x14ac:dyDescent="0.45">
      <c r="A666" s="1" t="s">
        <v>4</v>
      </c>
    </row>
    <row r="667" spans="1:4" x14ac:dyDescent="0.45">
      <c r="A667" s="1" t="s">
        <v>4</v>
      </c>
    </row>
    <row r="668" spans="1:4" x14ac:dyDescent="0.45">
      <c r="A668" s="1" t="s">
        <v>4</v>
      </c>
    </row>
    <row r="669" spans="1:4" x14ac:dyDescent="0.45">
      <c r="A669" s="1" t="s">
        <v>6</v>
      </c>
    </row>
    <row r="670" spans="1:4" x14ac:dyDescent="0.45">
      <c r="A670" s="1" t="s">
        <v>7</v>
      </c>
      <c r="B670">
        <v>1.1050000000000001E-3</v>
      </c>
      <c r="C670">
        <v>210837</v>
      </c>
      <c r="D670">
        <v>259609</v>
      </c>
    </row>
    <row r="671" spans="1:4" x14ac:dyDescent="0.45">
      <c r="A671" s="1" t="s">
        <v>8</v>
      </c>
      <c r="B671">
        <v>1.085E-3</v>
      </c>
      <c r="C671">
        <v>193188</v>
      </c>
      <c r="D671">
        <v>255756</v>
      </c>
    </row>
    <row r="672" spans="1:4" x14ac:dyDescent="0.45">
      <c r="A672" s="1" t="s">
        <v>9</v>
      </c>
      <c r="B672">
        <v>1.1039999999999999E-3</v>
      </c>
      <c r="C672">
        <v>206474</v>
      </c>
      <c r="D672">
        <v>251994</v>
      </c>
    </row>
    <row r="673" spans="1:4" x14ac:dyDescent="0.45">
      <c r="A673" s="1" t="s">
        <v>10</v>
      </c>
      <c r="B673">
        <v>1.139E-3</v>
      </c>
      <c r="C673">
        <v>198590</v>
      </c>
      <c r="D673">
        <v>257818</v>
      </c>
    </row>
    <row r="674" spans="1:4" x14ac:dyDescent="0.45">
      <c r="A674" s="1" t="s">
        <v>11</v>
      </c>
      <c r="B674">
        <v>1.1950000000000001E-3</v>
      </c>
      <c r="C674">
        <v>205774</v>
      </c>
      <c r="D674">
        <v>257351</v>
      </c>
    </row>
    <row r="675" spans="1:4" x14ac:dyDescent="0.45">
      <c r="A675" s="1" t="s">
        <v>12</v>
      </c>
      <c r="B675">
        <v>1.1670000000000001E-3</v>
      </c>
      <c r="C675">
        <v>228073</v>
      </c>
      <c r="D675">
        <v>261593</v>
      </c>
    </row>
    <row r="676" spans="1:4" x14ac:dyDescent="0.45">
      <c r="A676" s="1" t="s">
        <v>13</v>
      </c>
      <c r="B676">
        <v>1.1119999999999999E-3</v>
      </c>
      <c r="C676">
        <v>197537</v>
      </c>
      <c r="D676">
        <v>248828</v>
      </c>
    </row>
    <row r="677" spans="1:4" x14ac:dyDescent="0.45">
      <c r="A677" s="1" t="s">
        <v>14</v>
      </c>
      <c r="B677">
        <v>1.08E-3</v>
      </c>
      <c r="C677">
        <v>200877</v>
      </c>
      <c r="D677">
        <v>249024</v>
      </c>
    </row>
    <row r="678" spans="1:4" x14ac:dyDescent="0.45">
      <c r="A678" s="1" t="s">
        <v>15</v>
      </c>
      <c r="B678">
        <v>1.09E-3</v>
      </c>
      <c r="C678">
        <v>197873</v>
      </c>
      <c r="D678">
        <v>253816</v>
      </c>
    </row>
    <row r="679" spans="1:4" x14ac:dyDescent="0.45">
      <c r="A679" s="1" t="s">
        <v>16</v>
      </c>
      <c r="B679">
        <v>1.124E-3</v>
      </c>
      <c r="C679">
        <v>214815</v>
      </c>
      <c r="D679">
        <v>256405</v>
      </c>
    </row>
    <row r="680" spans="1:4" x14ac:dyDescent="0.45">
      <c r="A680" s="1" t="s">
        <v>17</v>
      </c>
      <c r="B680">
        <v>1.1050000000000001E-3</v>
      </c>
      <c r="C680">
        <v>212342</v>
      </c>
      <c r="D680">
        <v>247629</v>
      </c>
    </row>
    <row r="681" spans="1:4" x14ac:dyDescent="0.45">
      <c r="A681" s="1" t="s">
        <v>18</v>
      </c>
      <c r="B681">
        <v>1.122E-3</v>
      </c>
      <c r="C681">
        <v>213027</v>
      </c>
      <c r="D681">
        <v>267794</v>
      </c>
    </row>
    <row r="682" spans="1:4" x14ac:dyDescent="0.45">
      <c r="A682" s="1" t="s">
        <v>19</v>
      </c>
      <c r="B682">
        <v>1.103E-3</v>
      </c>
      <c r="C682">
        <v>204803</v>
      </c>
      <c r="D682">
        <v>249021</v>
      </c>
    </row>
    <row r="683" spans="1:4" x14ac:dyDescent="0.45">
      <c r="A683" s="1" t="s">
        <v>20</v>
      </c>
      <c r="B683">
        <v>1.111E-3</v>
      </c>
      <c r="C683">
        <v>204063</v>
      </c>
      <c r="D683">
        <v>252290</v>
      </c>
    </row>
    <row r="684" spans="1:4" x14ac:dyDescent="0.45">
      <c r="A684" s="1" t="s">
        <v>21</v>
      </c>
      <c r="B684">
        <v>1.137E-3</v>
      </c>
      <c r="C684">
        <v>205694</v>
      </c>
      <c r="D684">
        <v>256004</v>
      </c>
    </row>
    <row r="685" spans="1:4" x14ac:dyDescent="0.45">
      <c r="A685" s="1" t="s">
        <v>22</v>
      </c>
      <c r="B685">
        <v>1.1440000000000001E-3</v>
      </c>
      <c r="C685">
        <v>190613</v>
      </c>
      <c r="D685">
        <v>276294</v>
      </c>
    </row>
    <row r="686" spans="1:4" x14ac:dyDescent="0.45">
      <c r="A686" s="1" t="s">
        <v>23</v>
      </c>
      <c r="B686">
        <v>1.0970000000000001E-3</v>
      </c>
      <c r="C686">
        <v>191581</v>
      </c>
      <c r="D686">
        <v>265840</v>
      </c>
    </row>
    <row r="687" spans="1:4" x14ac:dyDescent="0.45">
      <c r="A687" s="1" t="s">
        <v>24</v>
      </c>
      <c r="B687">
        <v>1.2210000000000001E-3</v>
      </c>
      <c r="C687">
        <v>205388</v>
      </c>
      <c r="D687">
        <v>252482</v>
      </c>
    </row>
    <row r="688" spans="1:4" x14ac:dyDescent="0.45">
      <c r="A688" s="1" t="s">
        <v>25</v>
      </c>
      <c r="B688">
        <v>1.212E-3</v>
      </c>
      <c r="C688">
        <v>199076</v>
      </c>
      <c r="D688">
        <v>269167</v>
      </c>
    </row>
    <row r="689" spans="1:4" x14ac:dyDescent="0.45">
      <c r="A689" s="1" t="s">
        <v>26</v>
      </c>
      <c r="B689">
        <v>1.1460000000000001E-3</v>
      </c>
      <c r="C689">
        <v>199659</v>
      </c>
      <c r="D689">
        <v>245091</v>
      </c>
    </row>
    <row r="690" spans="1:4" x14ac:dyDescent="0.45">
      <c r="A690" s="1" t="s">
        <v>27</v>
      </c>
      <c r="B690">
        <v>1.163E-3</v>
      </c>
      <c r="C690">
        <v>208742</v>
      </c>
      <c r="D690">
        <v>261682</v>
      </c>
    </row>
    <row r="691" spans="1:4" x14ac:dyDescent="0.45">
      <c r="A691" s="1" t="s">
        <v>28</v>
      </c>
      <c r="B691">
        <v>1.1180000000000001E-3</v>
      </c>
      <c r="C691">
        <v>204204</v>
      </c>
      <c r="D691">
        <v>250016</v>
      </c>
    </row>
    <row r="692" spans="1:4" x14ac:dyDescent="0.45">
      <c r="A692" s="1" t="s">
        <v>29</v>
      </c>
      <c r="B692">
        <v>1.129E-3</v>
      </c>
      <c r="C692">
        <v>201699</v>
      </c>
      <c r="D692">
        <v>248009</v>
      </c>
    </row>
    <row r="693" spans="1:4" x14ac:dyDescent="0.45">
      <c r="A693" s="1" t="s">
        <v>30</v>
      </c>
      <c r="B693">
        <v>1.1540000000000001E-3</v>
      </c>
      <c r="C693">
        <v>206730</v>
      </c>
      <c r="D693">
        <v>256882</v>
      </c>
    </row>
    <row r="694" spans="1:4" x14ac:dyDescent="0.45">
      <c r="A694" s="1" t="s">
        <v>31</v>
      </c>
      <c r="B694">
        <v>1.1199999999999999E-3</v>
      </c>
      <c r="C694">
        <v>204142</v>
      </c>
      <c r="D694">
        <v>249343</v>
      </c>
    </row>
    <row r="695" spans="1:4" x14ac:dyDescent="0.45">
      <c r="A695" s="1" t="s">
        <v>32</v>
      </c>
      <c r="B695">
        <v>1.0970000000000001E-3</v>
      </c>
      <c r="C695">
        <v>197605</v>
      </c>
      <c r="D695">
        <v>257922</v>
      </c>
    </row>
    <row r="696" spans="1:4" x14ac:dyDescent="0.45">
      <c r="A696" s="1" t="s">
        <v>33</v>
      </c>
      <c r="B696">
        <v>1.219E-3</v>
      </c>
      <c r="C696">
        <v>214537</v>
      </c>
      <c r="D696">
        <v>263784</v>
      </c>
    </row>
    <row r="697" spans="1:4" x14ac:dyDescent="0.45">
      <c r="A697" s="1" t="s">
        <v>34</v>
      </c>
      <c r="B697">
        <v>1.186E-3</v>
      </c>
      <c r="C697">
        <v>210108</v>
      </c>
      <c r="D697">
        <v>282604</v>
      </c>
    </row>
    <row r="698" spans="1:4" x14ac:dyDescent="0.45">
      <c r="A698" s="1" t="s">
        <v>35</v>
      </c>
      <c r="B698">
        <v>1.163E-3</v>
      </c>
      <c r="C698">
        <v>210021</v>
      </c>
      <c r="D698">
        <v>266744</v>
      </c>
    </row>
    <row r="699" spans="1:4" x14ac:dyDescent="0.45">
      <c r="A699" s="1" t="s">
        <v>36</v>
      </c>
      <c r="B699">
        <v>1.163E-3</v>
      </c>
      <c r="C699">
        <v>201643</v>
      </c>
      <c r="D699">
        <v>261732</v>
      </c>
    </row>
    <row r="700" spans="1:4" x14ac:dyDescent="0.45">
      <c r="A700" s="1" t="s">
        <v>37</v>
      </c>
      <c r="B700">
        <v>1.16E-3</v>
      </c>
      <c r="C700">
        <v>215872</v>
      </c>
      <c r="D700">
        <v>255405</v>
      </c>
    </row>
    <row r="701" spans="1:4" x14ac:dyDescent="0.45">
      <c r="A701" s="1" t="s">
        <v>38</v>
      </c>
      <c r="B701">
        <v>1.1249999999999999E-3</v>
      </c>
      <c r="C701">
        <v>216811</v>
      </c>
      <c r="D701">
        <v>260195</v>
      </c>
    </row>
    <row r="702" spans="1:4" x14ac:dyDescent="0.45">
      <c r="A702" s="1" t="s">
        <v>39</v>
      </c>
      <c r="B702">
        <v>1.1379999999999999E-3</v>
      </c>
      <c r="C702">
        <v>216010</v>
      </c>
      <c r="D702">
        <v>263643</v>
      </c>
    </row>
    <row r="703" spans="1:4" x14ac:dyDescent="0.45">
      <c r="A703" s="1" t="s">
        <v>40</v>
      </c>
      <c r="B703">
        <v>1.129E-3</v>
      </c>
      <c r="C703">
        <v>200492</v>
      </c>
      <c r="D703">
        <v>255112</v>
      </c>
    </row>
    <row r="704" spans="1:4" x14ac:dyDescent="0.45">
      <c r="A704" s="1" t="s">
        <v>41</v>
      </c>
      <c r="B704">
        <v>1.122E-3</v>
      </c>
      <c r="C704">
        <v>198637</v>
      </c>
      <c r="D704">
        <v>265228</v>
      </c>
    </row>
    <row r="705" spans="1:4" x14ac:dyDescent="0.45">
      <c r="A705" s="1" t="s">
        <v>42</v>
      </c>
      <c r="B705">
        <v>1.1130000000000001E-3</v>
      </c>
      <c r="C705">
        <v>194406</v>
      </c>
      <c r="D705">
        <v>262897</v>
      </c>
    </row>
    <row r="706" spans="1:4" x14ac:dyDescent="0.45">
      <c r="A706" s="1" t="s">
        <v>43</v>
      </c>
      <c r="B706">
        <v>1.1019999999999999E-3</v>
      </c>
      <c r="C706">
        <v>192796</v>
      </c>
      <c r="D706">
        <v>257465</v>
      </c>
    </row>
    <row r="707" spans="1:4" x14ac:dyDescent="0.45">
      <c r="A707" s="1" t="s">
        <v>44</v>
      </c>
      <c r="B707">
        <v>1.145E-3</v>
      </c>
      <c r="C707">
        <v>209290</v>
      </c>
      <c r="D707">
        <v>266192</v>
      </c>
    </row>
    <row r="708" spans="1:4" x14ac:dyDescent="0.45">
      <c r="A708" s="1" t="s">
        <v>45</v>
      </c>
      <c r="B708">
        <v>1.127E-3</v>
      </c>
      <c r="C708">
        <v>214750</v>
      </c>
      <c r="D708">
        <v>257772</v>
      </c>
    </row>
    <row r="709" spans="1:4" x14ac:dyDescent="0.45">
      <c r="A709" s="1" t="s">
        <v>46</v>
      </c>
      <c r="B709">
        <v>1.1490000000000001E-3</v>
      </c>
      <c r="C709">
        <v>214116</v>
      </c>
      <c r="D709">
        <v>242228</v>
      </c>
    </row>
    <row r="710" spans="1:4" x14ac:dyDescent="0.45">
      <c r="A710" s="1" t="s">
        <v>47</v>
      </c>
      <c r="B710">
        <v>1.0889999999999999E-3</v>
      </c>
      <c r="C710">
        <v>197093</v>
      </c>
      <c r="D710">
        <v>255064</v>
      </c>
    </row>
    <row r="711" spans="1:4" x14ac:dyDescent="0.45">
      <c r="A711" s="1" t="s">
        <v>48</v>
      </c>
      <c r="B711">
        <v>1.1180000000000001E-3</v>
      </c>
      <c r="C711">
        <v>203573</v>
      </c>
      <c r="D711">
        <v>264171</v>
      </c>
    </row>
    <row r="712" spans="1:4" x14ac:dyDescent="0.45">
      <c r="A712" s="1" t="s">
        <v>49</v>
      </c>
      <c r="B712">
        <v>1.085E-3</v>
      </c>
      <c r="C712">
        <v>205682</v>
      </c>
      <c r="D712">
        <v>249406</v>
      </c>
    </row>
    <row r="713" spans="1:4" x14ac:dyDescent="0.45">
      <c r="A713" s="1" t="s">
        <v>50</v>
      </c>
      <c r="B713">
        <v>1.1169999999999999E-3</v>
      </c>
      <c r="C713">
        <v>201293</v>
      </c>
      <c r="D713">
        <v>254624</v>
      </c>
    </row>
    <row r="714" spans="1:4" x14ac:dyDescent="0.45">
      <c r="A714" s="1" t="s">
        <v>51</v>
      </c>
      <c r="B714">
        <v>1.1659999999999999E-3</v>
      </c>
      <c r="C714">
        <v>198620</v>
      </c>
      <c r="D714">
        <v>245992</v>
      </c>
    </row>
    <row r="715" spans="1:4" x14ac:dyDescent="0.45">
      <c r="A715" s="1" t="s">
        <v>52</v>
      </c>
      <c r="B715">
        <v>1.1169999999999999E-3</v>
      </c>
      <c r="C715">
        <v>198476</v>
      </c>
      <c r="D715">
        <v>251083</v>
      </c>
    </row>
    <row r="716" spans="1:4" x14ac:dyDescent="0.45">
      <c r="A716" s="1" t="s">
        <v>53</v>
      </c>
      <c r="B716">
        <v>1.157E-3</v>
      </c>
      <c r="C716">
        <v>198155</v>
      </c>
      <c r="D716">
        <v>267548</v>
      </c>
    </row>
    <row r="717" spans="1:4" x14ac:dyDescent="0.45">
      <c r="A717" s="1" t="s">
        <v>54</v>
      </c>
      <c r="B717">
        <v>1.1670000000000001E-3</v>
      </c>
      <c r="C717">
        <v>215217</v>
      </c>
      <c r="D717">
        <v>258561</v>
      </c>
    </row>
    <row r="718" spans="1:4" x14ac:dyDescent="0.45">
      <c r="A718" s="1" t="s">
        <v>55</v>
      </c>
      <c r="B718">
        <v>1.1039999999999999E-3</v>
      </c>
      <c r="C718">
        <v>194932</v>
      </c>
      <c r="D718">
        <v>253340</v>
      </c>
    </row>
    <row r="719" spans="1:4" x14ac:dyDescent="0.45">
      <c r="A719" s="1" t="s">
        <v>56</v>
      </c>
      <c r="B719">
        <v>1.1150000000000001E-3</v>
      </c>
      <c r="C719">
        <v>202768</v>
      </c>
      <c r="D719">
        <v>259575</v>
      </c>
    </row>
    <row r="720" spans="1:4" x14ac:dyDescent="0.45">
      <c r="A720" s="1" t="s">
        <v>66</v>
      </c>
      <c r="B720">
        <f>AVERAGE(B670:B719)</f>
        <v>1.13312E-3</v>
      </c>
      <c r="C720">
        <f>AVERAGE(C670:C719)</f>
        <v>204574.07999999999</v>
      </c>
      <c r="D720">
        <f>AVERAGE(D670:D719)</f>
        <v>257560.5</v>
      </c>
    </row>
    <row r="721" spans="1:4" x14ac:dyDescent="0.45">
      <c r="A721" s="1" t="s">
        <v>67</v>
      </c>
      <c r="B721">
        <f>_xlfn.VAR.S(B670:B719)</f>
        <v>1.1997404081632657E-9</v>
      </c>
      <c r="C721">
        <f>_xlfn.VAR.S(C670:C719)</f>
        <v>62973335.095510222</v>
      </c>
      <c r="D721">
        <f>_xlfn.VAR.S(D670:D719)</f>
        <v>64022755.39795918</v>
      </c>
    </row>
    <row r="722" spans="1:4" x14ac:dyDescent="0.45">
      <c r="A722" s="1" t="s">
        <v>68</v>
      </c>
      <c r="B722">
        <f>MAX(B670:B719)</f>
        <v>1.2210000000000001E-3</v>
      </c>
      <c r="C722">
        <f>MAX(C670:C719)</f>
        <v>228073</v>
      </c>
      <c r="D722">
        <f>MAX(D670:D719)</f>
        <v>282604</v>
      </c>
    </row>
    <row r="723" spans="1:4" x14ac:dyDescent="0.45">
      <c r="A723" s="1" t="s">
        <v>57</v>
      </c>
    </row>
    <row r="724" spans="1:4" x14ac:dyDescent="0.45">
      <c r="A724" s="1" t="s">
        <v>7</v>
      </c>
      <c r="B724">
        <v>1.3736999999999999E-2</v>
      </c>
      <c r="C724">
        <v>2401282</v>
      </c>
      <c r="D724">
        <v>3254343</v>
      </c>
    </row>
    <row r="725" spans="1:4" x14ac:dyDescent="0.45">
      <c r="A725" s="1" t="s">
        <v>8</v>
      </c>
      <c r="B725">
        <v>1.4267E-2</v>
      </c>
      <c r="C725">
        <v>2368673</v>
      </c>
      <c r="D725">
        <v>3295598</v>
      </c>
    </row>
    <row r="726" spans="1:4" x14ac:dyDescent="0.45">
      <c r="A726" s="1" t="s">
        <v>9</v>
      </c>
      <c r="B726">
        <v>1.4872E-2</v>
      </c>
      <c r="C726">
        <v>2593737</v>
      </c>
      <c r="D726">
        <v>3227710</v>
      </c>
    </row>
    <row r="727" spans="1:4" x14ac:dyDescent="0.45">
      <c r="A727" s="1" t="s">
        <v>10</v>
      </c>
      <c r="B727">
        <v>1.4397999999999999E-2</v>
      </c>
      <c r="C727">
        <v>2437241</v>
      </c>
      <c r="D727">
        <v>3370910</v>
      </c>
    </row>
    <row r="728" spans="1:4" x14ac:dyDescent="0.45">
      <c r="A728" s="1" t="s">
        <v>11</v>
      </c>
      <c r="B728">
        <v>1.422E-2</v>
      </c>
      <c r="C728">
        <v>2504323</v>
      </c>
      <c r="D728">
        <v>3223667</v>
      </c>
    </row>
    <row r="729" spans="1:4" x14ac:dyDescent="0.45">
      <c r="A729" s="1" t="s">
        <v>12</v>
      </c>
      <c r="B729">
        <v>1.4095E-2</v>
      </c>
      <c r="C729">
        <v>2353968</v>
      </c>
      <c r="D729">
        <v>3262073</v>
      </c>
    </row>
    <row r="730" spans="1:4" x14ac:dyDescent="0.45">
      <c r="A730" s="1" t="s">
        <v>13</v>
      </c>
      <c r="B730">
        <v>1.4114E-2</v>
      </c>
      <c r="C730">
        <v>2619181</v>
      </c>
      <c r="D730">
        <v>3211635</v>
      </c>
    </row>
    <row r="731" spans="1:4" x14ac:dyDescent="0.45">
      <c r="A731" s="1" t="s">
        <v>14</v>
      </c>
      <c r="B731">
        <v>1.3826E-2</v>
      </c>
      <c r="C731">
        <v>2350137</v>
      </c>
      <c r="D731">
        <v>3422911</v>
      </c>
    </row>
    <row r="732" spans="1:4" x14ac:dyDescent="0.45">
      <c r="A732" s="1" t="s">
        <v>15</v>
      </c>
      <c r="B732">
        <v>1.3537E-2</v>
      </c>
      <c r="C732">
        <v>2371854</v>
      </c>
      <c r="D732">
        <v>3310889</v>
      </c>
    </row>
    <row r="733" spans="1:4" x14ac:dyDescent="0.45">
      <c r="A733" s="1" t="s">
        <v>16</v>
      </c>
      <c r="B733">
        <v>1.3495E-2</v>
      </c>
      <c r="C733">
        <v>2562127</v>
      </c>
      <c r="D733">
        <v>3267884</v>
      </c>
    </row>
    <row r="734" spans="1:4" x14ac:dyDescent="0.45">
      <c r="A734" s="1" t="s">
        <v>17</v>
      </c>
      <c r="B734">
        <v>1.3398E-2</v>
      </c>
      <c r="C734">
        <v>2376092</v>
      </c>
      <c r="D734">
        <v>3248266</v>
      </c>
    </row>
    <row r="735" spans="1:4" x14ac:dyDescent="0.45">
      <c r="A735" s="1" t="s">
        <v>18</v>
      </c>
      <c r="B735">
        <v>1.4205000000000001E-2</v>
      </c>
      <c r="C735">
        <v>2426940</v>
      </c>
      <c r="D735">
        <v>3234702</v>
      </c>
    </row>
    <row r="736" spans="1:4" x14ac:dyDescent="0.45">
      <c r="A736" s="1" t="s">
        <v>19</v>
      </c>
      <c r="B736">
        <v>1.4135E-2</v>
      </c>
      <c r="C736">
        <v>2461316</v>
      </c>
      <c r="D736">
        <v>3367192</v>
      </c>
    </row>
    <row r="737" spans="1:4" x14ac:dyDescent="0.45">
      <c r="A737" s="1" t="s">
        <v>20</v>
      </c>
      <c r="B737">
        <v>1.4104999999999999E-2</v>
      </c>
      <c r="C737">
        <v>2369977</v>
      </c>
      <c r="D737">
        <v>3412404</v>
      </c>
    </row>
    <row r="738" spans="1:4" x14ac:dyDescent="0.45">
      <c r="A738" s="1" t="s">
        <v>21</v>
      </c>
      <c r="B738">
        <v>1.3866E-2</v>
      </c>
      <c r="C738">
        <v>2389711</v>
      </c>
      <c r="D738">
        <v>3234311</v>
      </c>
    </row>
    <row r="739" spans="1:4" x14ac:dyDescent="0.45">
      <c r="A739" s="1" t="s">
        <v>22</v>
      </c>
      <c r="B739">
        <v>1.3596E-2</v>
      </c>
      <c r="C739">
        <v>2393554</v>
      </c>
      <c r="D739">
        <v>3217906</v>
      </c>
    </row>
    <row r="740" spans="1:4" x14ac:dyDescent="0.45">
      <c r="A740" s="1" t="s">
        <v>23</v>
      </c>
      <c r="B740">
        <v>1.3561E-2</v>
      </c>
      <c r="C740">
        <v>2401641</v>
      </c>
      <c r="D740">
        <v>3278460</v>
      </c>
    </row>
    <row r="741" spans="1:4" x14ac:dyDescent="0.45">
      <c r="A741" s="1" t="s">
        <v>24</v>
      </c>
      <c r="B741">
        <v>1.4383999999999999E-2</v>
      </c>
      <c r="C741">
        <v>2579464</v>
      </c>
      <c r="D741">
        <v>3427254</v>
      </c>
    </row>
    <row r="742" spans="1:4" x14ac:dyDescent="0.45">
      <c r="A742" s="1" t="s">
        <v>25</v>
      </c>
      <c r="B742">
        <v>1.4073E-2</v>
      </c>
      <c r="C742">
        <v>2493310</v>
      </c>
      <c r="D742">
        <v>3389400</v>
      </c>
    </row>
    <row r="743" spans="1:4" x14ac:dyDescent="0.45">
      <c r="A743" s="1" t="s">
        <v>26</v>
      </c>
      <c r="B743">
        <v>1.4777999999999999E-2</v>
      </c>
      <c r="C743">
        <v>2496895</v>
      </c>
      <c r="D743">
        <v>3321112</v>
      </c>
    </row>
    <row r="744" spans="1:4" x14ac:dyDescent="0.45">
      <c r="A744" s="1" t="s">
        <v>27</v>
      </c>
      <c r="B744">
        <v>1.4689000000000001E-2</v>
      </c>
      <c r="C744">
        <v>2612919</v>
      </c>
      <c r="D744">
        <v>3355543</v>
      </c>
    </row>
    <row r="745" spans="1:4" x14ac:dyDescent="0.45">
      <c r="A745" s="1" t="s">
        <v>28</v>
      </c>
      <c r="B745">
        <v>1.4045E-2</v>
      </c>
      <c r="C745">
        <v>2378556</v>
      </c>
      <c r="D745">
        <v>3346439</v>
      </c>
    </row>
    <row r="746" spans="1:4" x14ac:dyDescent="0.45">
      <c r="A746" s="1" t="s">
        <v>29</v>
      </c>
      <c r="B746">
        <v>1.3983000000000001E-2</v>
      </c>
      <c r="C746">
        <v>2521206</v>
      </c>
      <c r="D746">
        <v>3257500</v>
      </c>
    </row>
    <row r="747" spans="1:4" x14ac:dyDescent="0.45">
      <c r="A747" s="1" t="s">
        <v>30</v>
      </c>
      <c r="B747">
        <v>1.4239999999999999E-2</v>
      </c>
      <c r="C747">
        <v>2506473</v>
      </c>
      <c r="D747">
        <v>3229157</v>
      </c>
    </row>
    <row r="748" spans="1:4" x14ac:dyDescent="0.45">
      <c r="A748" s="1" t="s">
        <v>31</v>
      </c>
      <c r="B748">
        <v>1.4161E-2</v>
      </c>
      <c r="C748">
        <v>2483955</v>
      </c>
      <c r="D748">
        <v>3306005</v>
      </c>
    </row>
    <row r="749" spans="1:4" x14ac:dyDescent="0.45">
      <c r="A749" s="1" t="s">
        <v>32</v>
      </c>
      <c r="B749">
        <v>1.4263E-2</v>
      </c>
      <c r="C749">
        <v>2476730</v>
      </c>
      <c r="D749">
        <v>3238866</v>
      </c>
    </row>
    <row r="750" spans="1:4" x14ac:dyDescent="0.45">
      <c r="A750" s="1" t="s">
        <v>33</v>
      </c>
      <c r="B750">
        <v>1.3859E-2</v>
      </c>
      <c r="C750">
        <v>2326423</v>
      </c>
      <c r="D750">
        <v>3358608</v>
      </c>
    </row>
    <row r="751" spans="1:4" x14ac:dyDescent="0.45">
      <c r="A751" s="1" t="s">
        <v>34</v>
      </c>
      <c r="B751">
        <v>1.4256E-2</v>
      </c>
      <c r="C751">
        <v>2541099</v>
      </c>
      <c r="D751">
        <v>3312640</v>
      </c>
    </row>
    <row r="752" spans="1:4" x14ac:dyDescent="0.45">
      <c r="A752" s="1" t="s">
        <v>35</v>
      </c>
      <c r="B752">
        <v>1.3889E-2</v>
      </c>
      <c r="C752">
        <v>2354475</v>
      </c>
      <c r="D752">
        <v>3242293</v>
      </c>
    </row>
    <row r="753" spans="1:4" x14ac:dyDescent="0.45">
      <c r="A753" s="1" t="s">
        <v>36</v>
      </c>
      <c r="B753">
        <v>1.4703000000000001E-2</v>
      </c>
      <c r="C753">
        <v>2545254</v>
      </c>
      <c r="D753">
        <v>3254627</v>
      </c>
    </row>
    <row r="754" spans="1:4" x14ac:dyDescent="0.45">
      <c r="A754" s="1" t="s">
        <v>37</v>
      </c>
      <c r="B754">
        <v>1.4201E-2</v>
      </c>
      <c r="C754">
        <v>2528307</v>
      </c>
      <c r="D754">
        <v>3345845</v>
      </c>
    </row>
    <row r="755" spans="1:4" x14ac:dyDescent="0.45">
      <c r="A755" s="1" t="s">
        <v>38</v>
      </c>
      <c r="B755">
        <v>1.5217E-2</v>
      </c>
      <c r="C755">
        <v>2487858</v>
      </c>
      <c r="D755">
        <v>3236566</v>
      </c>
    </row>
    <row r="756" spans="1:4" x14ac:dyDescent="0.45">
      <c r="A756" s="1" t="s">
        <v>39</v>
      </c>
      <c r="B756">
        <v>1.4706E-2</v>
      </c>
      <c r="C756">
        <v>2444557</v>
      </c>
      <c r="D756">
        <v>3249162</v>
      </c>
    </row>
    <row r="757" spans="1:4" x14ac:dyDescent="0.45">
      <c r="A757" s="1" t="s">
        <v>40</v>
      </c>
      <c r="B757">
        <v>1.4297000000000001E-2</v>
      </c>
      <c r="C757">
        <v>2468815</v>
      </c>
      <c r="D757">
        <v>3206062</v>
      </c>
    </row>
    <row r="758" spans="1:4" x14ac:dyDescent="0.45">
      <c r="A758" s="1" t="s">
        <v>41</v>
      </c>
      <c r="B758">
        <v>1.3972999999999999E-2</v>
      </c>
      <c r="C758">
        <v>2341856</v>
      </c>
      <c r="D758">
        <v>3338729</v>
      </c>
    </row>
    <row r="759" spans="1:4" x14ac:dyDescent="0.45">
      <c r="A759" s="1" t="s">
        <v>42</v>
      </c>
      <c r="B759">
        <v>1.4104999999999999E-2</v>
      </c>
      <c r="C759">
        <v>2513040</v>
      </c>
      <c r="D759">
        <v>3293886</v>
      </c>
    </row>
    <row r="760" spans="1:4" x14ac:dyDescent="0.45">
      <c r="A760" s="1" t="s">
        <v>43</v>
      </c>
      <c r="B760">
        <v>1.4300999999999999E-2</v>
      </c>
      <c r="C760">
        <v>2655873</v>
      </c>
      <c r="D760">
        <v>3422061</v>
      </c>
    </row>
    <row r="761" spans="1:4" x14ac:dyDescent="0.45">
      <c r="A761" s="1" t="s">
        <v>44</v>
      </c>
      <c r="B761">
        <v>1.3564E-2</v>
      </c>
      <c r="C761">
        <v>2358621</v>
      </c>
      <c r="D761">
        <v>3241453</v>
      </c>
    </row>
    <row r="762" spans="1:4" x14ac:dyDescent="0.45">
      <c r="A762" s="1" t="s">
        <v>45</v>
      </c>
      <c r="B762">
        <v>1.4226000000000001E-2</v>
      </c>
      <c r="C762">
        <v>2443355</v>
      </c>
      <c r="D762">
        <v>3294203</v>
      </c>
    </row>
    <row r="763" spans="1:4" x14ac:dyDescent="0.45">
      <c r="A763" s="1" t="s">
        <v>46</v>
      </c>
      <c r="B763">
        <v>1.4225E-2</v>
      </c>
      <c r="C763">
        <v>2580189</v>
      </c>
      <c r="D763">
        <v>3234722</v>
      </c>
    </row>
    <row r="764" spans="1:4" x14ac:dyDescent="0.45">
      <c r="A764" s="1" t="s">
        <v>47</v>
      </c>
      <c r="B764">
        <v>1.4262E-2</v>
      </c>
      <c r="C764">
        <v>2456873</v>
      </c>
      <c r="D764">
        <v>3318556</v>
      </c>
    </row>
    <row r="765" spans="1:4" x14ac:dyDescent="0.45">
      <c r="A765" s="1" t="s">
        <v>48</v>
      </c>
      <c r="B765">
        <v>1.4055E-2</v>
      </c>
      <c r="C765">
        <v>2446103</v>
      </c>
      <c r="D765">
        <v>3339123</v>
      </c>
    </row>
    <row r="766" spans="1:4" x14ac:dyDescent="0.45">
      <c r="A766" s="1" t="s">
        <v>49</v>
      </c>
      <c r="B766">
        <v>1.4267999999999999E-2</v>
      </c>
      <c r="C766">
        <v>2572109</v>
      </c>
      <c r="D766">
        <v>3362561</v>
      </c>
    </row>
    <row r="767" spans="1:4" x14ac:dyDescent="0.45">
      <c r="A767" s="1" t="s">
        <v>50</v>
      </c>
      <c r="B767">
        <v>1.4002000000000001E-2</v>
      </c>
      <c r="C767">
        <v>2498018</v>
      </c>
      <c r="D767">
        <v>3350856</v>
      </c>
    </row>
    <row r="768" spans="1:4" x14ac:dyDescent="0.45">
      <c r="A768" s="1" t="s">
        <v>51</v>
      </c>
      <c r="B768">
        <v>1.392E-2</v>
      </c>
      <c r="C768">
        <v>2461167</v>
      </c>
      <c r="D768">
        <v>3204858</v>
      </c>
    </row>
    <row r="769" spans="1:4" x14ac:dyDescent="0.45">
      <c r="A769" s="1" t="s">
        <v>52</v>
      </c>
      <c r="B769">
        <v>1.4416999999999999E-2</v>
      </c>
      <c r="C769">
        <v>2472144</v>
      </c>
      <c r="D769">
        <v>3217187</v>
      </c>
    </row>
    <row r="770" spans="1:4" x14ac:dyDescent="0.45">
      <c r="A770" s="1" t="s">
        <v>53</v>
      </c>
      <c r="B770">
        <v>1.4484E-2</v>
      </c>
      <c r="C770">
        <v>2368490</v>
      </c>
      <c r="D770">
        <v>3341417</v>
      </c>
    </row>
    <row r="771" spans="1:4" x14ac:dyDescent="0.45">
      <c r="A771" s="1" t="s">
        <v>54</v>
      </c>
      <c r="B771">
        <v>1.4324E-2</v>
      </c>
      <c r="C771">
        <v>2320781</v>
      </c>
      <c r="D771">
        <v>3345535</v>
      </c>
    </row>
    <row r="772" spans="1:4" x14ac:dyDescent="0.45">
      <c r="A772" s="1" t="s">
        <v>55</v>
      </c>
      <c r="B772">
        <v>1.4279999999999999E-2</v>
      </c>
      <c r="C772">
        <v>2541200</v>
      </c>
      <c r="D772">
        <v>3237634</v>
      </c>
    </row>
    <row r="773" spans="1:4" x14ac:dyDescent="0.45">
      <c r="A773" s="1" t="s">
        <v>56</v>
      </c>
      <c r="B773">
        <v>1.4604000000000001E-2</v>
      </c>
      <c r="C773">
        <v>2670022</v>
      </c>
      <c r="D773">
        <v>3311885</v>
      </c>
    </row>
    <row r="774" spans="1:4" x14ac:dyDescent="0.45">
      <c r="A774" s="1" t="s">
        <v>66</v>
      </c>
      <c r="B774">
        <f>AVERAGE(B724:B773)</f>
        <v>1.4163620000000002E-2</v>
      </c>
      <c r="C774">
        <f>AVERAGE(C724:C773)</f>
        <v>2466557.8199999998</v>
      </c>
      <c r="D774">
        <f>AVERAGE(D724:D773)</f>
        <v>3295452.12</v>
      </c>
    </row>
    <row r="775" spans="1:4" x14ac:dyDescent="0.45">
      <c r="A775" s="1" t="s">
        <v>67</v>
      </c>
      <c r="B775">
        <f>_xlfn.VAR.S(B724:B773)</f>
        <v>1.3646113836734696E-7</v>
      </c>
      <c r="C775">
        <f>_xlfn.VAR.S(C724:C773)</f>
        <v>8182060623.905714</v>
      </c>
      <c r="D775">
        <f>_xlfn.VAR.S(D724:D773)</f>
        <v>4112566382.5975523</v>
      </c>
    </row>
    <row r="776" spans="1:4" x14ac:dyDescent="0.45">
      <c r="A776" s="1" t="s">
        <v>68</v>
      </c>
      <c r="B776">
        <f>MAX(B724:B773)</f>
        <v>1.5217E-2</v>
      </c>
      <c r="C776">
        <f>MAX(C724:C773)</f>
        <v>2670022</v>
      </c>
      <c r="D776">
        <f>MAX(D724:D773)</f>
        <v>3427254</v>
      </c>
    </row>
    <row r="777" spans="1:4" x14ac:dyDescent="0.45">
      <c r="A777" s="1" t="s">
        <v>58</v>
      </c>
    </row>
    <row r="778" spans="1:4" x14ac:dyDescent="0.45">
      <c r="A778" s="1" t="s">
        <v>7</v>
      </c>
      <c r="B778">
        <v>0.16608600000000001</v>
      </c>
      <c r="C778">
        <v>28529868</v>
      </c>
      <c r="D778">
        <v>38926799</v>
      </c>
    </row>
    <row r="779" spans="1:4" x14ac:dyDescent="0.45">
      <c r="A779" s="1" t="s">
        <v>8</v>
      </c>
      <c r="B779">
        <v>0.16701199999999999</v>
      </c>
      <c r="C779">
        <v>28970984</v>
      </c>
      <c r="D779">
        <v>39399144</v>
      </c>
    </row>
    <row r="780" spans="1:4" x14ac:dyDescent="0.45">
      <c r="A780" s="1" t="s">
        <v>9</v>
      </c>
      <c r="B780">
        <v>0.164517</v>
      </c>
      <c r="C780">
        <v>29013064</v>
      </c>
      <c r="D780">
        <v>39392825</v>
      </c>
    </row>
    <row r="781" spans="1:4" x14ac:dyDescent="0.45">
      <c r="A781" s="1" t="s">
        <v>10</v>
      </c>
      <c r="B781">
        <v>0.16640199999999999</v>
      </c>
      <c r="C781">
        <v>29165250</v>
      </c>
      <c r="D781">
        <v>40199290</v>
      </c>
    </row>
    <row r="782" spans="1:4" x14ac:dyDescent="0.45">
      <c r="A782" s="1" t="s">
        <v>11</v>
      </c>
      <c r="B782">
        <v>0.171186</v>
      </c>
      <c r="C782">
        <v>29154817</v>
      </c>
      <c r="D782">
        <v>39659592</v>
      </c>
    </row>
    <row r="783" spans="1:4" x14ac:dyDescent="0.45">
      <c r="A783" s="1" t="s">
        <v>12</v>
      </c>
      <c r="B783">
        <v>0.167966</v>
      </c>
      <c r="C783">
        <v>28229716</v>
      </c>
      <c r="D783">
        <v>38899706</v>
      </c>
    </row>
    <row r="784" spans="1:4" x14ac:dyDescent="0.45">
      <c r="A784" s="1" t="s">
        <v>13</v>
      </c>
      <c r="B784">
        <v>0.161408</v>
      </c>
      <c r="C784">
        <v>27568829</v>
      </c>
      <c r="D784">
        <v>39301093</v>
      </c>
    </row>
    <row r="785" spans="1:4" x14ac:dyDescent="0.45">
      <c r="A785" s="1" t="s">
        <v>14</v>
      </c>
      <c r="B785">
        <v>0.167601</v>
      </c>
      <c r="C785">
        <v>28606438</v>
      </c>
      <c r="D785">
        <v>39435306</v>
      </c>
    </row>
    <row r="786" spans="1:4" x14ac:dyDescent="0.45">
      <c r="A786" s="1" t="s">
        <v>15</v>
      </c>
      <c r="B786">
        <v>0.17013200000000001</v>
      </c>
      <c r="C786">
        <v>30332571</v>
      </c>
      <c r="D786">
        <v>40089427</v>
      </c>
    </row>
    <row r="787" spans="1:4" x14ac:dyDescent="0.45">
      <c r="A787" s="1" t="s">
        <v>16</v>
      </c>
      <c r="B787">
        <v>0.172206</v>
      </c>
      <c r="C787">
        <v>29852201</v>
      </c>
      <c r="D787">
        <v>39379689</v>
      </c>
    </row>
    <row r="788" spans="1:4" x14ac:dyDescent="0.45">
      <c r="A788" s="1" t="s">
        <v>17</v>
      </c>
      <c r="B788">
        <v>0.166185</v>
      </c>
      <c r="C788">
        <v>28667987</v>
      </c>
      <c r="D788">
        <v>39294101</v>
      </c>
    </row>
    <row r="789" spans="1:4" x14ac:dyDescent="0.45">
      <c r="A789" s="1" t="s">
        <v>18</v>
      </c>
      <c r="B789">
        <v>0.16723499999999999</v>
      </c>
      <c r="C789">
        <v>27858356</v>
      </c>
      <c r="D789">
        <v>39671107</v>
      </c>
    </row>
    <row r="790" spans="1:4" x14ac:dyDescent="0.45">
      <c r="A790" s="1" t="s">
        <v>19</v>
      </c>
      <c r="B790">
        <v>0.16991400000000001</v>
      </c>
      <c r="C790">
        <v>29886704</v>
      </c>
      <c r="D790">
        <v>40355211</v>
      </c>
    </row>
    <row r="791" spans="1:4" x14ac:dyDescent="0.45">
      <c r="A791" s="1" t="s">
        <v>20</v>
      </c>
      <c r="B791">
        <v>0.16605900000000001</v>
      </c>
      <c r="C791">
        <v>28943608</v>
      </c>
      <c r="D791">
        <v>39922665</v>
      </c>
    </row>
    <row r="792" spans="1:4" x14ac:dyDescent="0.45">
      <c r="A792" s="1" t="s">
        <v>21</v>
      </c>
      <c r="B792">
        <v>0.16344400000000001</v>
      </c>
      <c r="C792">
        <v>28382558</v>
      </c>
      <c r="D792">
        <v>39439264</v>
      </c>
    </row>
    <row r="793" spans="1:4" x14ac:dyDescent="0.45">
      <c r="A793" s="1" t="s">
        <v>22</v>
      </c>
      <c r="B793">
        <v>0.16992399999999999</v>
      </c>
      <c r="C793">
        <v>29831603</v>
      </c>
      <c r="D793">
        <v>39982969</v>
      </c>
    </row>
    <row r="794" spans="1:4" x14ac:dyDescent="0.45">
      <c r="A794" s="1" t="s">
        <v>23</v>
      </c>
      <c r="B794">
        <v>0.16780300000000001</v>
      </c>
      <c r="C794">
        <v>28762317</v>
      </c>
      <c r="D794">
        <v>39977544</v>
      </c>
    </row>
    <row r="795" spans="1:4" x14ac:dyDescent="0.45">
      <c r="A795" s="1" t="s">
        <v>24</v>
      </c>
      <c r="B795">
        <v>0.16692100000000001</v>
      </c>
      <c r="C795">
        <v>29627555</v>
      </c>
      <c r="D795">
        <v>40742832</v>
      </c>
    </row>
    <row r="796" spans="1:4" x14ac:dyDescent="0.45">
      <c r="A796" s="1" t="s">
        <v>25</v>
      </c>
      <c r="B796">
        <v>0.16309799999999999</v>
      </c>
      <c r="C796">
        <v>27984097</v>
      </c>
      <c r="D796">
        <v>40430383</v>
      </c>
    </row>
    <row r="797" spans="1:4" x14ac:dyDescent="0.45">
      <c r="A797" s="1" t="s">
        <v>26</v>
      </c>
      <c r="B797">
        <v>0.16999900000000001</v>
      </c>
      <c r="C797">
        <v>30398651</v>
      </c>
      <c r="D797">
        <v>39622008</v>
      </c>
    </row>
    <row r="798" spans="1:4" x14ac:dyDescent="0.45">
      <c r="A798" s="1" t="s">
        <v>27</v>
      </c>
      <c r="B798">
        <v>0.16678899999999999</v>
      </c>
      <c r="C798">
        <v>29070665</v>
      </c>
      <c r="D798">
        <v>39613086</v>
      </c>
    </row>
    <row r="799" spans="1:4" x14ac:dyDescent="0.45">
      <c r="A799" s="1" t="s">
        <v>28</v>
      </c>
      <c r="B799">
        <v>0.16781699999999999</v>
      </c>
      <c r="C799">
        <v>28291894</v>
      </c>
      <c r="D799">
        <v>39448606</v>
      </c>
    </row>
    <row r="800" spans="1:4" x14ac:dyDescent="0.45">
      <c r="A800" s="1" t="s">
        <v>29</v>
      </c>
      <c r="B800">
        <v>0.16667299999999999</v>
      </c>
      <c r="C800">
        <v>28151169</v>
      </c>
      <c r="D800">
        <v>39559078</v>
      </c>
    </row>
    <row r="801" spans="1:4" x14ac:dyDescent="0.45">
      <c r="A801" s="1" t="s">
        <v>30</v>
      </c>
      <c r="B801">
        <v>0.16703100000000001</v>
      </c>
      <c r="C801">
        <v>29316668</v>
      </c>
      <c r="D801">
        <v>41525614</v>
      </c>
    </row>
    <row r="802" spans="1:4" x14ac:dyDescent="0.45">
      <c r="A802" s="1" t="s">
        <v>31</v>
      </c>
      <c r="B802">
        <v>0.16631799999999999</v>
      </c>
      <c r="C802">
        <v>28045056</v>
      </c>
      <c r="D802">
        <v>39778041</v>
      </c>
    </row>
    <row r="803" spans="1:4" x14ac:dyDescent="0.45">
      <c r="A803" s="1" t="s">
        <v>32</v>
      </c>
      <c r="B803">
        <v>0.16608600000000001</v>
      </c>
      <c r="C803">
        <v>27646479</v>
      </c>
      <c r="D803">
        <v>41018758</v>
      </c>
    </row>
    <row r="804" spans="1:4" x14ac:dyDescent="0.45">
      <c r="A804" s="1" t="s">
        <v>33</v>
      </c>
      <c r="B804">
        <v>0.17105500000000001</v>
      </c>
      <c r="C804">
        <v>29914238</v>
      </c>
      <c r="D804">
        <v>39593613</v>
      </c>
    </row>
    <row r="805" spans="1:4" x14ac:dyDescent="0.45">
      <c r="A805" s="1" t="s">
        <v>34</v>
      </c>
      <c r="B805">
        <v>0.168962</v>
      </c>
      <c r="C805">
        <v>28554164</v>
      </c>
      <c r="D805">
        <v>41195228</v>
      </c>
    </row>
    <row r="806" spans="1:4" x14ac:dyDescent="0.45">
      <c r="A806" s="1" t="s">
        <v>35</v>
      </c>
      <c r="B806">
        <v>0.16516800000000001</v>
      </c>
      <c r="C806">
        <v>29144115</v>
      </c>
      <c r="D806">
        <v>39985310</v>
      </c>
    </row>
    <row r="807" spans="1:4" x14ac:dyDescent="0.45">
      <c r="A807" s="1" t="s">
        <v>36</v>
      </c>
      <c r="B807">
        <v>0.16947699999999999</v>
      </c>
      <c r="C807">
        <v>29468963</v>
      </c>
      <c r="D807">
        <v>41267940</v>
      </c>
    </row>
    <row r="808" spans="1:4" x14ac:dyDescent="0.45">
      <c r="A808" s="1" t="s">
        <v>37</v>
      </c>
      <c r="B808">
        <v>0.16512499999999999</v>
      </c>
      <c r="C808">
        <v>28052019</v>
      </c>
      <c r="D808">
        <v>39327875</v>
      </c>
    </row>
    <row r="809" spans="1:4" x14ac:dyDescent="0.45">
      <c r="A809" s="1" t="s">
        <v>38</v>
      </c>
      <c r="B809">
        <v>0.165043</v>
      </c>
      <c r="C809">
        <v>29606792</v>
      </c>
      <c r="D809">
        <v>39380535</v>
      </c>
    </row>
    <row r="810" spans="1:4" x14ac:dyDescent="0.45">
      <c r="A810" s="1" t="s">
        <v>39</v>
      </c>
      <c r="B810">
        <v>0.168823</v>
      </c>
      <c r="C810">
        <v>29600279</v>
      </c>
      <c r="D810">
        <v>39207392</v>
      </c>
    </row>
    <row r="811" spans="1:4" x14ac:dyDescent="0.45">
      <c r="A811" s="1" t="s">
        <v>40</v>
      </c>
      <c r="B811">
        <v>0.16753499999999999</v>
      </c>
      <c r="C811">
        <v>27528838</v>
      </c>
      <c r="D811">
        <v>42615891</v>
      </c>
    </row>
    <row r="812" spans="1:4" x14ac:dyDescent="0.45">
      <c r="A812" s="1" t="s">
        <v>41</v>
      </c>
      <c r="B812">
        <v>0.16597400000000001</v>
      </c>
      <c r="C812">
        <v>28455943</v>
      </c>
      <c r="D812">
        <v>39958766</v>
      </c>
    </row>
    <row r="813" spans="1:4" x14ac:dyDescent="0.45">
      <c r="A813" s="1" t="s">
        <v>42</v>
      </c>
      <c r="B813">
        <v>0.16497800000000001</v>
      </c>
      <c r="C813">
        <v>27940037</v>
      </c>
      <c r="D813">
        <v>39689043</v>
      </c>
    </row>
    <row r="814" spans="1:4" x14ac:dyDescent="0.45">
      <c r="A814" s="1" t="s">
        <v>43</v>
      </c>
      <c r="B814">
        <v>0.16619300000000001</v>
      </c>
      <c r="C814">
        <v>29099248</v>
      </c>
      <c r="D814">
        <v>39484642</v>
      </c>
    </row>
    <row r="815" spans="1:4" x14ac:dyDescent="0.45">
      <c r="A815" s="1" t="s">
        <v>44</v>
      </c>
      <c r="B815">
        <v>0.16417999999999999</v>
      </c>
      <c r="C815">
        <v>27237396</v>
      </c>
      <c r="D815">
        <v>40116968</v>
      </c>
    </row>
    <row r="816" spans="1:4" x14ac:dyDescent="0.45">
      <c r="A816" s="1" t="s">
        <v>45</v>
      </c>
      <c r="B816">
        <v>0.170463</v>
      </c>
      <c r="C816">
        <v>30372870</v>
      </c>
      <c r="D816">
        <v>40379607</v>
      </c>
    </row>
    <row r="817" spans="1:4" x14ac:dyDescent="0.45">
      <c r="A817" s="1" t="s">
        <v>46</v>
      </c>
      <c r="B817">
        <v>0.16900699999999999</v>
      </c>
      <c r="C817">
        <v>29902263</v>
      </c>
      <c r="D817">
        <v>41545192</v>
      </c>
    </row>
    <row r="818" spans="1:4" x14ac:dyDescent="0.45">
      <c r="A818" s="1" t="s">
        <v>47</v>
      </c>
      <c r="B818">
        <v>0.16503399999999999</v>
      </c>
      <c r="C818">
        <v>27563869</v>
      </c>
      <c r="D818">
        <v>40701038</v>
      </c>
    </row>
    <row r="819" spans="1:4" x14ac:dyDescent="0.45">
      <c r="A819" s="1" t="s">
        <v>48</v>
      </c>
      <c r="B819">
        <v>0.17250299999999999</v>
      </c>
      <c r="C819">
        <v>30971602</v>
      </c>
      <c r="D819">
        <v>41750960</v>
      </c>
    </row>
    <row r="820" spans="1:4" x14ac:dyDescent="0.45">
      <c r="A820" s="1" t="s">
        <v>49</v>
      </c>
      <c r="B820">
        <v>0.167985</v>
      </c>
      <c r="C820">
        <v>29600659</v>
      </c>
      <c r="D820">
        <v>39700482</v>
      </c>
    </row>
    <row r="821" spans="1:4" x14ac:dyDescent="0.45">
      <c r="A821" s="1" t="s">
        <v>50</v>
      </c>
      <c r="B821">
        <v>0.16925399999999999</v>
      </c>
      <c r="C821">
        <v>29513051</v>
      </c>
      <c r="D821">
        <v>40260995</v>
      </c>
    </row>
    <row r="822" spans="1:4" x14ac:dyDescent="0.45">
      <c r="A822" s="1" t="s">
        <v>51</v>
      </c>
      <c r="B822">
        <v>0.16785</v>
      </c>
      <c r="C822">
        <v>27174880</v>
      </c>
      <c r="D822">
        <v>39700940</v>
      </c>
    </row>
    <row r="823" spans="1:4" x14ac:dyDescent="0.45">
      <c r="A823" s="1" t="s">
        <v>52</v>
      </c>
      <c r="B823">
        <v>0.16816900000000001</v>
      </c>
      <c r="C823">
        <v>29539597</v>
      </c>
      <c r="D823">
        <v>39297457</v>
      </c>
    </row>
    <row r="824" spans="1:4" x14ac:dyDescent="0.45">
      <c r="A824" s="1" t="s">
        <v>53</v>
      </c>
      <c r="B824">
        <v>0.165662</v>
      </c>
      <c r="C824">
        <v>28128208</v>
      </c>
      <c r="D824">
        <v>39859403</v>
      </c>
    </row>
    <row r="825" spans="1:4" x14ac:dyDescent="0.45">
      <c r="A825" s="1" t="s">
        <v>54</v>
      </c>
      <c r="B825">
        <v>0.170546</v>
      </c>
      <c r="C825">
        <v>30686883</v>
      </c>
      <c r="D825">
        <v>40369175</v>
      </c>
    </row>
    <row r="826" spans="1:4" x14ac:dyDescent="0.45">
      <c r="A826" s="1" t="s">
        <v>55</v>
      </c>
      <c r="B826">
        <v>0.16694600000000001</v>
      </c>
      <c r="C826">
        <v>29400401</v>
      </c>
      <c r="D826">
        <v>41053746</v>
      </c>
    </row>
    <row r="827" spans="1:4" x14ac:dyDescent="0.45">
      <c r="A827" s="1" t="s">
        <v>56</v>
      </c>
      <c r="B827">
        <v>0.16369700000000001</v>
      </c>
      <c r="C827">
        <v>27802431</v>
      </c>
      <c r="D827">
        <v>39914421</v>
      </c>
    </row>
    <row r="828" spans="1:4" x14ac:dyDescent="0.45">
      <c r="A828" s="1" t="s">
        <v>66</v>
      </c>
      <c r="B828">
        <f>AVERAGE(B778:B827)</f>
        <v>0.16730881999999997</v>
      </c>
      <c r="C828">
        <f>AVERAGE(C778:C827)</f>
        <v>28910957.02</v>
      </c>
      <c r="D828">
        <f>AVERAGE(D778:D827)</f>
        <v>40028415.140000001</v>
      </c>
    </row>
    <row r="829" spans="1:4" x14ac:dyDescent="0.45">
      <c r="A829" s="1" t="s">
        <v>67</v>
      </c>
      <c r="B829">
        <f>_xlfn.VAR.S(B778:B827)</f>
        <v>5.8355319057142829E-6</v>
      </c>
      <c r="C829">
        <f>_xlfn.VAR.S(C778:C827)</f>
        <v>890994243283.89746</v>
      </c>
      <c r="D829">
        <f>_xlfn.VAR.S(D778:D827)</f>
        <v>620275313745.83716</v>
      </c>
    </row>
    <row r="830" spans="1:4" x14ac:dyDescent="0.45">
      <c r="A830" s="1" t="s">
        <v>68</v>
      </c>
      <c r="B830">
        <f>MAX(B778:B827)</f>
        <v>0.17250299999999999</v>
      </c>
      <c r="C830">
        <f>MAX(C778:C827)</f>
        <v>30971602</v>
      </c>
      <c r="D830">
        <f>MAX(D778:D827)</f>
        <v>42615891</v>
      </c>
    </row>
    <row r="831" spans="1:4" x14ac:dyDescent="0.45">
      <c r="A831" s="1" t="s">
        <v>59</v>
      </c>
    </row>
    <row r="832" spans="1:4" x14ac:dyDescent="0.45">
      <c r="A832" s="1" t="s">
        <v>7</v>
      </c>
      <c r="B832">
        <v>1.9195549999999999</v>
      </c>
      <c r="C832">
        <v>329095490</v>
      </c>
      <c r="D832">
        <v>470422173</v>
      </c>
    </row>
    <row r="833" spans="1:4" x14ac:dyDescent="0.45">
      <c r="A833" s="1" t="s">
        <v>8</v>
      </c>
      <c r="B833">
        <v>1.9483440000000001</v>
      </c>
      <c r="C833">
        <v>332981108</v>
      </c>
      <c r="D833">
        <v>481631310</v>
      </c>
    </row>
    <row r="834" spans="1:4" x14ac:dyDescent="0.45">
      <c r="A834" s="1" t="s">
        <v>9</v>
      </c>
      <c r="B834">
        <v>1.965263</v>
      </c>
      <c r="C834">
        <v>327976662</v>
      </c>
      <c r="D834">
        <v>475542569</v>
      </c>
    </row>
    <row r="835" spans="1:4" x14ac:dyDescent="0.45">
      <c r="A835" s="1" t="s">
        <v>10</v>
      </c>
      <c r="B835">
        <v>1.9246479999999999</v>
      </c>
      <c r="C835">
        <v>313818096</v>
      </c>
      <c r="D835">
        <v>473644310</v>
      </c>
    </row>
    <row r="836" spans="1:4" x14ac:dyDescent="0.45">
      <c r="A836" s="1" t="s">
        <v>11</v>
      </c>
      <c r="B836">
        <v>1.971071</v>
      </c>
      <c r="C836">
        <v>350393883</v>
      </c>
      <c r="D836">
        <v>476751605</v>
      </c>
    </row>
    <row r="837" spans="1:4" x14ac:dyDescent="0.45">
      <c r="A837" s="1" t="s">
        <v>12</v>
      </c>
      <c r="B837">
        <v>1.9433640000000001</v>
      </c>
      <c r="C837">
        <v>324317144</v>
      </c>
      <c r="D837">
        <v>468559671</v>
      </c>
    </row>
    <row r="838" spans="1:4" x14ac:dyDescent="0.45">
      <c r="A838" s="1" t="s">
        <v>13</v>
      </c>
      <c r="B838">
        <v>1.949004</v>
      </c>
      <c r="C838">
        <v>330842299</v>
      </c>
      <c r="D838">
        <v>474062333</v>
      </c>
    </row>
    <row r="839" spans="1:4" x14ac:dyDescent="0.45">
      <c r="A839" s="1" t="s">
        <v>14</v>
      </c>
      <c r="B839">
        <v>1.9417530000000001</v>
      </c>
      <c r="C839">
        <v>330830952</v>
      </c>
      <c r="D839">
        <v>466833984</v>
      </c>
    </row>
    <row r="840" spans="1:4" x14ac:dyDescent="0.45">
      <c r="A840" s="1" t="s">
        <v>15</v>
      </c>
      <c r="B840">
        <v>1.9349050000000001</v>
      </c>
      <c r="C840">
        <v>329119710</v>
      </c>
      <c r="D840">
        <v>470956039</v>
      </c>
    </row>
    <row r="841" spans="1:4" x14ac:dyDescent="0.45">
      <c r="A841" s="1" t="s">
        <v>16</v>
      </c>
      <c r="B841">
        <v>1.9430670000000001</v>
      </c>
      <c r="C841">
        <v>319413780</v>
      </c>
      <c r="D841">
        <v>482040773</v>
      </c>
    </row>
    <row r="842" spans="1:4" x14ac:dyDescent="0.45">
      <c r="A842" s="1" t="s">
        <v>17</v>
      </c>
      <c r="B842">
        <v>1.9275659999999999</v>
      </c>
      <c r="C842">
        <v>316088806</v>
      </c>
      <c r="D842">
        <v>467041751</v>
      </c>
    </row>
    <row r="843" spans="1:4" x14ac:dyDescent="0.45">
      <c r="A843" s="1" t="s">
        <v>18</v>
      </c>
      <c r="B843">
        <v>1.9522029999999999</v>
      </c>
      <c r="C843">
        <v>333161777</v>
      </c>
      <c r="D843">
        <v>485156728</v>
      </c>
    </row>
    <row r="844" spans="1:4" x14ac:dyDescent="0.45">
      <c r="A844" s="1" t="s">
        <v>19</v>
      </c>
      <c r="B844">
        <v>1.9290339999999999</v>
      </c>
      <c r="C844">
        <v>328596655</v>
      </c>
      <c r="D844">
        <v>481201388</v>
      </c>
    </row>
    <row r="845" spans="1:4" x14ac:dyDescent="0.45">
      <c r="A845" s="1" t="s">
        <v>20</v>
      </c>
      <c r="B845">
        <v>1.9142269999999999</v>
      </c>
      <c r="C845">
        <v>326195607</v>
      </c>
      <c r="D845">
        <v>457657775</v>
      </c>
    </row>
    <row r="846" spans="1:4" x14ac:dyDescent="0.45">
      <c r="A846" s="1" t="s">
        <v>21</v>
      </c>
      <c r="B846">
        <v>1.9802850000000001</v>
      </c>
      <c r="C846">
        <v>330604102</v>
      </c>
      <c r="D846">
        <v>476374541</v>
      </c>
    </row>
    <row r="847" spans="1:4" x14ac:dyDescent="0.45">
      <c r="A847" s="1" t="s">
        <v>22</v>
      </c>
      <c r="B847">
        <v>1.9579150000000001</v>
      </c>
      <c r="C847">
        <v>339802087</v>
      </c>
      <c r="D847">
        <v>466106616</v>
      </c>
    </row>
    <row r="848" spans="1:4" x14ac:dyDescent="0.45">
      <c r="A848" s="1" t="s">
        <v>23</v>
      </c>
      <c r="B848">
        <v>1.9539599999999999</v>
      </c>
      <c r="C848">
        <v>339268081</v>
      </c>
      <c r="D848">
        <v>469612399</v>
      </c>
    </row>
    <row r="849" spans="1:4" x14ac:dyDescent="0.45">
      <c r="A849" s="1" t="s">
        <v>24</v>
      </c>
      <c r="B849">
        <v>1.9481569999999999</v>
      </c>
      <c r="C849">
        <v>332062027</v>
      </c>
      <c r="D849">
        <v>481942093</v>
      </c>
    </row>
    <row r="850" spans="1:4" x14ac:dyDescent="0.45">
      <c r="A850" s="1" t="s">
        <v>25</v>
      </c>
      <c r="B850">
        <v>1.980699</v>
      </c>
      <c r="C850">
        <v>344397128</v>
      </c>
      <c r="D850">
        <v>498294671</v>
      </c>
    </row>
    <row r="851" spans="1:4" x14ac:dyDescent="0.45">
      <c r="A851" s="1" t="s">
        <v>26</v>
      </c>
      <c r="B851">
        <v>1.979241</v>
      </c>
      <c r="C851">
        <v>342954947</v>
      </c>
      <c r="D851">
        <v>482536053</v>
      </c>
    </row>
    <row r="852" spans="1:4" x14ac:dyDescent="0.45">
      <c r="A852" s="1" t="s">
        <v>27</v>
      </c>
      <c r="B852">
        <v>1.944858</v>
      </c>
      <c r="C852">
        <v>325352966</v>
      </c>
      <c r="D852">
        <v>474213035</v>
      </c>
    </row>
    <row r="853" spans="1:4" x14ac:dyDescent="0.45">
      <c r="A853" s="1" t="s">
        <v>28</v>
      </c>
      <c r="B853">
        <v>1.950086</v>
      </c>
      <c r="C853">
        <v>333580314</v>
      </c>
      <c r="D853">
        <v>474501394</v>
      </c>
    </row>
    <row r="854" spans="1:4" x14ac:dyDescent="0.45">
      <c r="A854" s="1" t="s">
        <v>29</v>
      </c>
      <c r="B854">
        <v>1.962766</v>
      </c>
      <c r="C854">
        <v>341435648</v>
      </c>
      <c r="D854">
        <v>472737526</v>
      </c>
    </row>
    <row r="855" spans="1:4" x14ac:dyDescent="0.45">
      <c r="A855" s="1" t="s">
        <v>30</v>
      </c>
      <c r="B855">
        <v>1.9134100000000001</v>
      </c>
      <c r="C855">
        <v>324796662</v>
      </c>
      <c r="D855">
        <v>460583608</v>
      </c>
    </row>
    <row r="856" spans="1:4" x14ac:dyDescent="0.45">
      <c r="A856" s="1" t="s">
        <v>31</v>
      </c>
      <c r="B856">
        <v>1.930571</v>
      </c>
      <c r="C856">
        <v>324254012</v>
      </c>
      <c r="D856">
        <v>463275718</v>
      </c>
    </row>
    <row r="857" spans="1:4" x14ac:dyDescent="0.45">
      <c r="A857" s="1" t="s">
        <v>32</v>
      </c>
      <c r="B857">
        <v>1.952135</v>
      </c>
      <c r="C857">
        <v>335718754</v>
      </c>
      <c r="D857">
        <v>481239718</v>
      </c>
    </row>
    <row r="858" spans="1:4" x14ac:dyDescent="0.45">
      <c r="A858" s="1" t="s">
        <v>33</v>
      </c>
      <c r="B858">
        <v>1.940385</v>
      </c>
      <c r="C858">
        <v>318192935</v>
      </c>
      <c r="D858">
        <v>473754396</v>
      </c>
    </row>
    <row r="859" spans="1:4" x14ac:dyDescent="0.45">
      <c r="A859" s="1" t="s">
        <v>34</v>
      </c>
      <c r="B859">
        <v>1.9415199999999999</v>
      </c>
      <c r="C859">
        <v>314169642</v>
      </c>
      <c r="D859">
        <v>465588369</v>
      </c>
    </row>
    <row r="860" spans="1:4" x14ac:dyDescent="0.45">
      <c r="A860" s="1" t="s">
        <v>35</v>
      </c>
      <c r="B860">
        <v>1.9188000000000001</v>
      </c>
      <c r="C860">
        <v>327367939</v>
      </c>
      <c r="D860">
        <v>472057678</v>
      </c>
    </row>
    <row r="861" spans="1:4" x14ac:dyDescent="0.45">
      <c r="A861" s="1" t="s">
        <v>36</v>
      </c>
      <c r="B861">
        <v>1.939011</v>
      </c>
      <c r="C861">
        <v>325542991</v>
      </c>
      <c r="D861">
        <v>474138386</v>
      </c>
    </row>
    <row r="862" spans="1:4" x14ac:dyDescent="0.45">
      <c r="A862" s="1" t="s">
        <v>37</v>
      </c>
      <c r="B862">
        <v>1.9833890000000001</v>
      </c>
      <c r="C862">
        <v>316659418</v>
      </c>
      <c r="D862">
        <v>471312263</v>
      </c>
    </row>
    <row r="863" spans="1:4" x14ac:dyDescent="0.45">
      <c r="A863" s="1" t="s">
        <v>38</v>
      </c>
      <c r="B863">
        <v>1.9476230000000001</v>
      </c>
      <c r="C863">
        <v>331326721</v>
      </c>
      <c r="D863">
        <v>466105974</v>
      </c>
    </row>
    <row r="864" spans="1:4" x14ac:dyDescent="0.45">
      <c r="A864" s="1" t="s">
        <v>39</v>
      </c>
      <c r="B864">
        <v>1.9433229999999999</v>
      </c>
      <c r="C864">
        <v>330886504</v>
      </c>
      <c r="D864">
        <v>479391431</v>
      </c>
    </row>
    <row r="865" spans="1:4" x14ac:dyDescent="0.45">
      <c r="A865" s="1" t="s">
        <v>40</v>
      </c>
      <c r="B865">
        <v>1.9222109999999999</v>
      </c>
      <c r="C865">
        <v>319932101</v>
      </c>
      <c r="D865">
        <v>465597160</v>
      </c>
    </row>
    <row r="866" spans="1:4" x14ac:dyDescent="0.45">
      <c r="A866" s="1" t="s">
        <v>41</v>
      </c>
      <c r="B866">
        <v>1.975624</v>
      </c>
      <c r="C866">
        <v>333590745</v>
      </c>
      <c r="D866">
        <v>484139331</v>
      </c>
    </row>
    <row r="867" spans="1:4" x14ac:dyDescent="0.45">
      <c r="A867" s="1" t="s">
        <v>42</v>
      </c>
      <c r="B867">
        <v>1.9267719999999999</v>
      </c>
      <c r="C867">
        <v>323619027</v>
      </c>
      <c r="D867">
        <v>467358081</v>
      </c>
    </row>
    <row r="868" spans="1:4" x14ac:dyDescent="0.45">
      <c r="A868" s="1" t="s">
        <v>43</v>
      </c>
      <c r="B868">
        <v>1.9442999999999999</v>
      </c>
      <c r="C868">
        <v>332235806</v>
      </c>
      <c r="D868">
        <v>474472910</v>
      </c>
    </row>
    <row r="869" spans="1:4" x14ac:dyDescent="0.45">
      <c r="A869" s="1" t="s">
        <v>44</v>
      </c>
      <c r="B869">
        <v>1.946572</v>
      </c>
      <c r="C869">
        <v>333491034</v>
      </c>
      <c r="D869">
        <v>469827102</v>
      </c>
    </row>
    <row r="870" spans="1:4" x14ac:dyDescent="0.45">
      <c r="A870" s="1" t="s">
        <v>45</v>
      </c>
      <c r="B870">
        <v>1.9121300000000001</v>
      </c>
      <c r="C870">
        <v>319848396</v>
      </c>
      <c r="D870">
        <v>464905158</v>
      </c>
    </row>
    <row r="871" spans="1:4" x14ac:dyDescent="0.45">
      <c r="A871" s="1" t="s">
        <v>46</v>
      </c>
      <c r="B871">
        <v>1.916425</v>
      </c>
      <c r="C871">
        <v>322734511</v>
      </c>
      <c r="D871">
        <v>461785677</v>
      </c>
    </row>
    <row r="872" spans="1:4" x14ac:dyDescent="0.45">
      <c r="A872" s="1" t="s">
        <v>47</v>
      </c>
      <c r="B872">
        <v>1.9216569999999999</v>
      </c>
      <c r="C872">
        <v>323344813</v>
      </c>
      <c r="D872">
        <v>468837654</v>
      </c>
    </row>
    <row r="873" spans="1:4" x14ac:dyDescent="0.45">
      <c r="A873" s="1" t="s">
        <v>48</v>
      </c>
      <c r="B873">
        <v>1.930293</v>
      </c>
      <c r="C873">
        <v>337877413</v>
      </c>
      <c r="D873">
        <v>465160568</v>
      </c>
    </row>
    <row r="874" spans="1:4" x14ac:dyDescent="0.45">
      <c r="A874" s="1" t="s">
        <v>49</v>
      </c>
      <c r="B874">
        <v>1.9907349999999999</v>
      </c>
      <c r="C874">
        <v>339924798</v>
      </c>
      <c r="D874">
        <v>497410921</v>
      </c>
    </row>
    <row r="875" spans="1:4" x14ac:dyDescent="0.45">
      <c r="A875" s="1" t="s">
        <v>50</v>
      </c>
      <c r="B875">
        <v>1.9459740000000001</v>
      </c>
      <c r="C875">
        <v>328042417</v>
      </c>
      <c r="D875">
        <v>476009650</v>
      </c>
    </row>
    <row r="876" spans="1:4" x14ac:dyDescent="0.45">
      <c r="A876" s="1" t="s">
        <v>51</v>
      </c>
      <c r="B876">
        <v>1.9395230000000001</v>
      </c>
      <c r="C876">
        <v>326667891</v>
      </c>
      <c r="D876">
        <v>474658095</v>
      </c>
    </row>
    <row r="877" spans="1:4" x14ac:dyDescent="0.45">
      <c r="A877" s="1" t="s">
        <v>52</v>
      </c>
      <c r="B877">
        <v>1.931433</v>
      </c>
      <c r="C877">
        <v>322280027</v>
      </c>
      <c r="D877">
        <v>479161544</v>
      </c>
    </row>
    <row r="878" spans="1:4" x14ac:dyDescent="0.45">
      <c r="A878" s="1" t="s">
        <v>53</v>
      </c>
      <c r="B878">
        <v>1.9199900000000001</v>
      </c>
      <c r="C878">
        <v>318194804</v>
      </c>
      <c r="D878">
        <v>474418356</v>
      </c>
    </row>
    <row r="879" spans="1:4" x14ac:dyDescent="0.45">
      <c r="A879" s="1" t="s">
        <v>54</v>
      </c>
      <c r="B879">
        <v>1.95431</v>
      </c>
      <c r="C879">
        <v>331053782</v>
      </c>
      <c r="D879">
        <v>474998758</v>
      </c>
    </row>
    <row r="880" spans="1:4" x14ac:dyDescent="0.45">
      <c r="A880" s="1" t="s">
        <v>55</v>
      </c>
      <c r="B880">
        <v>1.9398759999999999</v>
      </c>
      <c r="C880">
        <v>324622206</v>
      </c>
      <c r="D880">
        <v>471805884</v>
      </c>
    </row>
    <row r="881" spans="1:4" x14ac:dyDescent="0.45">
      <c r="A881" s="1" t="s">
        <v>56</v>
      </c>
      <c r="B881">
        <v>1.927665</v>
      </c>
      <c r="C881">
        <v>324615465</v>
      </c>
      <c r="D881">
        <v>469012422</v>
      </c>
    </row>
    <row r="882" spans="1:4" x14ac:dyDescent="0.45">
      <c r="A882" s="1" t="s">
        <v>66</v>
      </c>
      <c r="B882">
        <f>AVERAGE(B832:B881)</f>
        <v>1.9435525600000005</v>
      </c>
      <c r="C882">
        <f>AVERAGE(C832:C881)</f>
        <v>328665601.66000003</v>
      </c>
      <c r="D882">
        <f>AVERAGE(D832:D881)</f>
        <v>473496550.98000002</v>
      </c>
    </row>
    <row r="883" spans="1:4" x14ac:dyDescent="0.45">
      <c r="A883" s="1" t="s">
        <v>67</v>
      </c>
      <c r="B883">
        <f>_xlfn.VAR.S(B832:B881)</f>
        <v>3.9456693935346974E-4</v>
      </c>
      <c r="C883">
        <f>_xlfn.VAR.S(C832:C881)</f>
        <v>65138823305405.5</v>
      </c>
      <c r="D883">
        <f>_xlfn.VAR.S(D832:D881)</f>
        <v>65978212841900.141</v>
      </c>
    </row>
    <row r="884" spans="1:4" x14ac:dyDescent="0.45">
      <c r="A884" s="1" t="s">
        <v>68</v>
      </c>
      <c r="B884">
        <f>MAX(B832:B881)</f>
        <v>1.9907349999999999</v>
      </c>
      <c r="C884">
        <f>MAX(C832:C881)</f>
        <v>350393883</v>
      </c>
      <c r="D884">
        <f>MAX(D832:D881)</f>
        <v>498294671</v>
      </c>
    </row>
    <row r="885" spans="1:4" x14ac:dyDescent="0.45">
      <c r="A885" s="1" t="s">
        <v>63</v>
      </c>
    </row>
    <row r="886" spans="1:4" x14ac:dyDescent="0.45">
      <c r="A886" s="1" t="s">
        <v>4</v>
      </c>
    </row>
    <row r="887" spans="1:4" x14ac:dyDescent="0.45">
      <c r="A887" s="1" t="s">
        <v>4</v>
      </c>
    </row>
    <row r="888" spans="1:4" x14ac:dyDescent="0.45">
      <c r="A888" s="1" t="s">
        <v>4</v>
      </c>
    </row>
    <row r="889" spans="1:4" x14ac:dyDescent="0.45">
      <c r="A889" s="1" t="s">
        <v>6</v>
      </c>
    </row>
    <row r="890" spans="1:4" x14ac:dyDescent="0.45">
      <c r="A890" s="1" t="s">
        <v>7</v>
      </c>
      <c r="B890">
        <v>1.645E-3</v>
      </c>
      <c r="C890">
        <v>250065</v>
      </c>
      <c r="D890">
        <v>429322</v>
      </c>
    </row>
    <row r="891" spans="1:4" x14ac:dyDescent="0.45">
      <c r="A891" s="1" t="s">
        <v>8</v>
      </c>
      <c r="B891">
        <v>1.8400000000000001E-3</v>
      </c>
      <c r="C891">
        <v>293314</v>
      </c>
      <c r="D891">
        <v>535681</v>
      </c>
    </row>
    <row r="892" spans="1:4" x14ac:dyDescent="0.45">
      <c r="A892" s="1" t="s">
        <v>9</v>
      </c>
      <c r="B892">
        <v>2.052E-3</v>
      </c>
      <c r="C892">
        <v>324413</v>
      </c>
      <c r="D892">
        <v>622208</v>
      </c>
    </row>
    <row r="893" spans="1:4" x14ac:dyDescent="0.45">
      <c r="A893" s="1" t="s">
        <v>10</v>
      </c>
      <c r="B893">
        <v>2.3040000000000001E-3</v>
      </c>
      <c r="C893">
        <v>381875</v>
      </c>
      <c r="D893">
        <v>775028</v>
      </c>
    </row>
    <row r="894" spans="1:4" x14ac:dyDescent="0.45">
      <c r="A894" s="1" t="s">
        <v>11</v>
      </c>
      <c r="B894">
        <v>1.242E-3</v>
      </c>
      <c r="C894">
        <v>224286</v>
      </c>
      <c r="D894">
        <v>299326</v>
      </c>
    </row>
    <row r="895" spans="1:4" x14ac:dyDescent="0.45">
      <c r="A895" s="1" t="s">
        <v>12</v>
      </c>
      <c r="B895">
        <v>1.274E-3</v>
      </c>
      <c r="C895">
        <v>227651</v>
      </c>
      <c r="D895">
        <v>301391</v>
      </c>
    </row>
    <row r="896" spans="1:4" x14ac:dyDescent="0.45">
      <c r="A896" s="1" t="s">
        <v>13</v>
      </c>
      <c r="B896">
        <v>1.328E-3</v>
      </c>
      <c r="C896">
        <v>234331</v>
      </c>
      <c r="D896">
        <v>298525</v>
      </c>
    </row>
    <row r="897" spans="1:4" x14ac:dyDescent="0.45">
      <c r="A897" s="1" t="s">
        <v>14</v>
      </c>
      <c r="B897">
        <v>1.7440000000000001E-3</v>
      </c>
      <c r="C897">
        <v>268789</v>
      </c>
      <c r="D897">
        <v>486446</v>
      </c>
    </row>
    <row r="898" spans="1:4" x14ac:dyDescent="0.45">
      <c r="A898" s="1" t="s">
        <v>15</v>
      </c>
      <c r="B898">
        <v>1.2999999999999999E-3</v>
      </c>
      <c r="C898">
        <v>225611</v>
      </c>
      <c r="D898">
        <v>308858</v>
      </c>
    </row>
    <row r="899" spans="1:4" x14ac:dyDescent="0.45">
      <c r="A899" s="1" t="s">
        <v>16</v>
      </c>
      <c r="B899">
        <v>1.305E-3</v>
      </c>
      <c r="C899">
        <v>244884</v>
      </c>
      <c r="D899">
        <v>322318</v>
      </c>
    </row>
    <row r="900" spans="1:4" x14ac:dyDescent="0.45">
      <c r="A900" s="1" t="s">
        <v>17</v>
      </c>
      <c r="B900">
        <v>1.281E-3</v>
      </c>
      <c r="C900">
        <v>231616</v>
      </c>
      <c r="D900">
        <v>299886</v>
      </c>
    </row>
    <row r="901" spans="1:4" x14ac:dyDescent="0.45">
      <c r="A901" s="1" t="s">
        <v>18</v>
      </c>
      <c r="B901">
        <v>1.2260000000000001E-3</v>
      </c>
      <c r="C901">
        <v>225709</v>
      </c>
      <c r="D901">
        <v>305795</v>
      </c>
    </row>
    <row r="902" spans="1:4" x14ac:dyDescent="0.45">
      <c r="A902" s="1" t="s">
        <v>19</v>
      </c>
      <c r="B902">
        <v>2.3010000000000001E-3</v>
      </c>
      <c r="C902">
        <v>351483</v>
      </c>
      <c r="D902">
        <v>731810</v>
      </c>
    </row>
    <row r="903" spans="1:4" x14ac:dyDescent="0.45">
      <c r="A903" s="1" t="s">
        <v>20</v>
      </c>
      <c r="B903">
        <v>1.403E-3</v>
      </c>
      <c r="C903">
        <v>248007</v>
      </c>
      <c r="D903">
        <v>349300</v>
      </c>
    </row>
    <row r="904" spans="1:4" x14ac:dyDescent="0.45">
      <c r="A904" s="1" t="s">
        <v>21</v>
      </c>
      <c r="B904">
        <v>1.289E-3</v>
      </c>
      <c r="C904">
        <v>225426</v>
      </c>
      <c r="D904">
        <v>307563</v>
      </c>
    </row>
    <row r="905" spans="1:4" x14ac:dyDescent="0.45">
      <c r="A905" s="1" t="s">
        <v>22</v>
      </c>
      <c r="B905">
        <v>1.5989999999999999E-3</v>
      </c>
      <c r="C905">
        <v>277257</v>
      </c>
      <c r="D905">
        <v>451466</v>
      </c>
    </row>
    <row r="906" spans="1:4" x14ac:dyDescent="0.45">
      <c r="A906" s="1" t="s">
        <v>23</v>
      </c>
      <c r="B906">
        <v>2.264E-3</v>
      </c>
      <c r="C906">
        <v>386592</v>
      </c>
      <c r="D906">
        <v>728777</v>
      </c>
    </row>
    <row r="907" spans="1:4" x14ac:dyDescent="0.45">
      <c r="A907" s="1" t="s">
        <v>24</v>
      </c>
      <c r="B907">
        <v>2.4450000000000001E-3</v>
      </c>
      <c r="C907">
        <v>377010</v>
      </c>
      <c r="D907">
        <v>780224</v>
      </c>
    </row>
    <row r="908" spans="1:4" x14ac:dyDescent="0.45">
      <c r="A908" s="1" t="s">
        <v>25</v>
      </c>
      <c r="B908">
        <v>1.658E-3</v>
      </c>
      <c r="C908">
        <v>281931</v>
      </c>
      <c r="D908">
        <v>439983</v>
      </c>
    </row>
    <row r="909" spans="1:4" x14ac:dyDescent="0.45">
      <c r="A909" s="1" t="s">
        <v>26</v>
      </c>
      <c r="B909">
        <v>1.7520000000000001E-3</v>
      </c>
      <c r="C909">
        <v>304821</v>
      </c>
      <c r="D909">
        <v>525944</v>
      </c>
    </row>
    <row r="910" spans="1:4" x14ac:dyDescent="0.45">
      <c r="A910" s="1" t="s">
        <v>27</v>
      </c>
      <c r="B910">
        <v>1.9719999999999998E-3</v>
      </c>
      <c r="C910">
        <v>316438</v>
      </c>
      <c r="D910">
        <v>594157</v>
      </c>
    </row>
    <row r="911" spans="1:4" x14ac:dyDescent="0.45">
      <c r="A911" s="1" t="s">
        <v>28</v>
      </c>
      <c r="B911">
        <v>1.2539999999999999E-3</v>
      </c>
      <c r="C911">
        <v>222335</v>
      </c>
      <c r="D911">
        <v>290007</v>
      </c>
    </row>
    <row r="912" spans="1:4" x14ac:dyDescent="0.45">
      <c r="A912" s="1" t="s">
        <v>29</v>
      </c>
      <c r="B912">
        <v>1.3129999999999999E-3</v>
      </c>
      <c r="C912">
        <v>231500</v>
      </c>
      <c r="D912">
        <v>320500</v>
      </c>
    </row>
    <row r="913" spans="1:4" x14ac:dyDescent="0.45">
      <c r="A913" s="1" t="s">
        <v>30</v>
      </c>
      <c r="B913">
        <v>1.248E-3</v>
      </c>
      <c r="C913">
        <v>224997</v>
      </c>
      <c r="D913">
        <v>293131</v>
      </c>
    </row>
    <row r="914" spans="1:4" x14ac:dyDescent="0.45">
      <c r="A914" s="1" t="s">
        <v>31</v>
      </c>
      <c r="B914">
        <v>1.2960000000000001E-3</v>
      </c>
      <c r="C914">
        <v>226397</v>
      </c>
      <c r="D914">
        <v>313671</v>
      </c>
    </row>
    <row r="915" spans="1:4" x14ac:dyDescent="0.45">
      <c r="A915" s="1" t="s">
        <v>32</v>
      </c>
      <c r="B915">
        <v>1.261E-3</v>
      </c>
      <c r="C915">
        <v>213047</v>
      </c>
      <c r="D915">
        <v>303802</v>
      </c>
    </row>
    <row r="916" spans="1:4" x14ac:dyDescent="0.45">
      <c r="A916" s="1" t="s">
        <v>33</v>
      </c>
      <c r="B916">
        <v>1.299E-3</v>
      </c>
      <c r="C916">
        <v>224085</v>
      </c>
      <c r="D916">
        <v>317713</v>
      </c>
    </row>
    <row r="917" spans="1:4" x14ac:dyDescent="0.45">
      <c r="A917" s="1" t="s">
        <v>34</v>
      </c>
      <c r="B917">
        <v>1.2570000000000001E-3</v>
      </c>
      <c r="C917">
        <v>228827</v>
      </c>
      <c r="D917">
        <v>305556</v>
      </c>
    </row>
    <row r="918" spans="1:4" x14ac:dyDescent="0.45">
      <c r="A918" s="1" t="s">
        <v>35</v>
      </c>
      <c r="B918">
        <v>1.7910000000000001E-3</v>
      </c>
      <c r="C918">
        <v>291021</v>
      </c>
      <c r="D918">
        <v>513281</v>
      </c>
    </row>
    <row r="919" spans="1:4" x14ac:dyDescent="0.45">
      <c r="A919" s="1" t="s">
        <v>36</v>
      </c>
      <c r="B919">
        <v>1.7589999999999999E-3</v>
      </c>
      <c r="C919">
        <v>282385</v>
      </c>
      <c r="D919">
        <v>540888</v>
      </c>
    </row>
    <row r="920" spans="1:4" x14ac:dyDescent="0.45">
      <c r="A920" s="1" t="s">
        <v>37</v>
      </c>
      <c r="B920">
        <v>1.2719999999999999E-3</v>
      </c>
      <c r="C920">
        <v>226762</v>
      </c>
      <c r="D920">
        <v>312132</v>
      </c>
    </row>
    <row r="921" spans="1:4" x14ac:dyDescent="0.45">
      <c r="A921" s="1" t="s">
        <v>38</v>
      </c>
      <c r="B921">
        <v>1.5629999999999999E-3</v>
      </c>
      <c r="C921">
        <v>264735</v>
      </c>
      <c r="D921">
        <v>417349</v>
      </c>
    </row>
    <row r="922" spans="1:4" x14ac:dyDescent="0.45">
      <c r="A922" s="1" t="s">
        <v>39</v>
      </c>
      <c r="B922">
        <v>1.3500000000000001E-3</v>
      </c>
      <c r="C922">
        <v>226180</v>
      </c>
      <c r="D922">
        <v>299346</v>
      </c>
    </row>
    <row r="923" spans="1:4" x14ac:dyDescent="0.45">
      <c r="A923" s="1" t="s">
        <v>40</v>
      </c>
      <c r="B923">
        <v>1.407E-3</v>
      </c>
      <c r="C923">
        <v>251150</v>
      </c>
      <c r="D923">
        <v>338030</v>
      </c>
    </row>
    <row r="924" spans="1:4" x14ac:dyDescent="0.45">
      <c r="A924" s="1" t="s">
        <v>41</v>
      </c>
      <c r="B924">
        <v>2.0709999999999999E-3</v>
      </c>
      <c r="C924">
        <v>341556</v>
      </c>
      <c r="D924">
        <v>657130</v>
      </c>
    </row>
    <row r="925" spans="1:4" x14ac:dyDescent="0.45">
      <c r="A925" s="1" t="s">
        <v>42</v>
      </c>
      <c r="B925">
        <v>1.5820000000000001E-3</v>
      </c>
      <c r="C925">
        <v>282915</v>
      </c>
      <c r="D925">
        <v>455249</v>
      </c>
    </row>
    <row r="926" spans="1:4" x14ac:dyDescent="0.45">
      <c r="A926" s="1" t="s">
        <v>43</v>
      </c>
      <c r="B926">
        <v>1.3060000000000001E-3</v>
      </c>
      <c r="C926">
        <v>226447</v>
      </c>
      <c r="D926">
        <v>341683</v>
      </c>
    </row>
    <row r="927" spans="1:4" x14ac:dyDescent="0.45">
      <c r="A927" s="1" t="s">
        <v>44</v>
      </c>
      <c r="B927">
        <v>1.3209999999999999E-3</v>
      </c>
      <c r="C927">
        <v>246600</v>
      </c>
      <c r="D927">
        <v>312336</v>
      </c>
    </row>
    <row r="928" spans="1:4" x14ac:dyDescent="0.45">
      <c r="A928" s="1" t="s">
        <v>45</v>
      </c>
      <c r="B928">
        <v>1.456E-3</v>
      </c>
      <c r="C928">
        <v>250631</v>
      </c>
      <c r="D928">
        <v>380813</v>
      </c>
    </row>
    <row r="929" spans="1:4" x14ac:dyDescent="0.45">
      <c r="A929" s="1" t="s">
        <v>46</v>
      </c>
      <c r="B929">
        <v>2.2039999999999998E-3</v>
      </c>
      <c r="C929">
        <v>380887</v>
      </c>
      <c r="D929">
        <v>746581</v>
      </c>
    </row>
    <row r="930" spans="1:4" x14ac:dyDescent="0.45">
      <c r="A930" s="1" t="s">
        <v>47</v>
      </c>
      <c r="B930">
        <v>1.439E-3</v>
      </c>
      <c r="C930">
        <v>267426</v>
      </c>
      <c r="D930">
        <v>383980</v>
      </c>
    </row>
    <row r="931" spans="1:4" x14ac:dyDescent="0.45">
      <c r="A931" s="1" t="s">
        <v>48</v>
      </c>
      <c r="B931">
        <v>1.482E-3</v>
      </c>
      <c r="C931">
        <v>246632</v>
      </c>
      <c r="D931">
        <v>391483</v>
      </c>
    </row>
    <row r="932" spans="1:4" x14ac:dyDescent="0.45">
      <c r="A932" s="1" t="s">
        <v>49</v>
      </c>
      <c r="B932">
        <v>1.3439999999999999E-3</v>
      </c>
      <c r="C932">
        <v>220175</v>
      </c>
      <c r="D932">
        <v>297416</v>
      </c>
    </row>
    <row r="933" spans="1:4" x14ac:dyDescent="0.45">
      <c r="A933" s="1" t="s">
        <v>50</v>
      </c>
      <c r="B933">
        <v>1.255E-3</v>
      </c>
      <c r="C933">
        <v>215915</v>
      </c>
      <c r="D933">
        <v>309173</v>
      </c>
    </row>
    <row r="934" spans="1:4" x14ac:dyDescent="0.45">
      <c r="A934" s="1" t="s">
        <v>51</v>
      </c>
      <c r="B934">
        <v>2.3600000000000001E-3</v>
      </c>
      <c r="C934">
        <v>368239</v>
      </c>
      <c r="D934">
        <v>744499</v>
      </c>
    </row>
    <row r="935" spans="1:4" x14ac:dyDescent="0.45">
      <c r="A935" s="1" t="s">
        <v>52</v>
      </c>
      <c r="B935">
        <v>1.39E-3</v>
      </c>
      <c r="C935">
        <v>250766</v>
      </c>
      <c r="D935">
        <v>354826</v>
      </c>
    </row>
    <row r="936" spans="1:4" x14ac:dyDescent="0.45">
      <c r="A936" s="1" t="s">
        <v>53</v>
      </c>
      <c r="B936">
        <v>1.2830000000000001E-3</v>
      </c>
      <c r="C936">
        <v>218124</v>
      </c>
      <c r="D936">
        <v>341267</v>
      </c>
    </row>
    <row r="937" spans="1:4" x14ac:dyDescent="0.45">
      <c r="A937" s="1" t="s">
        <v>54</v>
      </c>
      <c r="B937">
        <v>1.702E-3</v>
      </c>
      <c r="C937">
        <v>286029</v>
      </c>
      <c r="D937">
        <v>470771</v>
      </c>
    </row>
    <row r="938" spans="1:4" x14ac:dyDescent="0.45">
      <c r="A938" s="1" t="s">
        <v>55</v>
      </c>
      <c r="B938">
        <v>1.2819999999999999E-3</v>
      </c>
      <c r="C938">
        <v>218341</v>
      </c>
      <c r="D938">
        <v>290490</v>
      </c>
    </row>
    <row r="939" spans="1:4" x14ac:dyDescent="0.45">
      <c r="A939" s="1" t="s">
        <v>56</v>
      </c>
      <c r="B939">
        <v>1.6869999999999999E-3</v>
      </c>
      <c r="C939">
        <v>275991</v>
      </c>
      <c r="D939">
        <v>521021</v>
      </c>
    </row>
    <row r="940" spans="1:4" x14ac:dyDescent="0.45">
      <c r="A940" s="1" t="s">
        <v>66</v>
      </c>
      <c r="B940">
        <f>AVERAGE(B890:B939)</f>
        <v>1.56916E-3</v>
      </c>
      <c r="C940">
        <f>AVERAGE(C890:C939)</f>
        <v>266232.08</v>
      </c>
      <c r="D940">
        <f>AVERAGE(D890:D939)</f>
        <v>429162.64</v>
      </c>
    </row>
    <row r="941" spans="1:4" x14ac:dyDescent="0.45">
      <c r="A941" s="1" t="s">
        <v>67</v>
      </c>
      <c r="B941">
        <f>_xlfn.VAR.S(B890:B939)</f>
        <v>1.2767842285714288E-7</v>
      </c>
      <c r="C941">
        <f>_xlfn.VAR.S(C890:C939)</f>
        <v>2574532338.1975546</v>
      </c>
      <c r="D941">
        <f>_xlfn.VAR.S(D890:D939)</f>
        <v>23712090891.010601</v>
      </c>
    </row>
    <row r="942" spans="1:4" x14ac:dyDescent="0.45">
      <c r="A942" s="1" t="s">
        <v>68</v>
      </c>
      <c r="B942">
        <f>MAX(B890:B939)</f>
        <v>2.4450000000000001E-3</v>
      </c>
      <c r="C942">
        <f>MAX(C890:C939)</f>
        <v>386592</v>
      </c>
      <c r="D942">
        <f>MAX(D890:D939)</f>
        <v>780224</v>
      </c>
    </row>
    <row r="943" spans="1:4" x14ac:dyDescent="0.45">
      <c r="A943" s="1" t="s">
        <v>57</v>
      </c>
    </row>
    <row r="944" spans="1:4" x14ac:dyDescent="0.45">
      <c r="A944" s="1" t="s">
        <v>7</v>
      </c>
      <c r="B944">
        <v>1.6445000000000001E-2</v>
      </c>
      <c r="C944">
        <v>2771641</v>
      </c>
      <c r="D944">
        <v>4231878</v>
      </c>
    </row>
    <row r="945" spans="1:4" x14ac:dyDescent="0.45">
      <c r="A945" s="1" t="s">
        <v>8</v>
      </c>
      <c r="B945">
        <v>5.2373000000000003E-2</v>
      </c>
      <c r="C945">
        <v>7986118</v>
      </c>
      <c r="D945">
        <v>19987332</v>
      </c>
    </row>
    <row r="946" spans="1:4" x14ac:dyDescent="0.45">
      <c r="A946" s="1" t="s">
        <v>9</v>
      </c>
      <c r="B946">
        <v>4.8735000000000001E-2</v>
      </c>
      <c r="C946">
        <v>7561389</v>
      </c>
      <c r="D946">
        <v>18567602</v>
      </c>
    </row>
    <row r="947" spans="1:4" x14ac:dyDescent="0.45">
      <c r="A947" s="1" t="s">
        <v>10</v>
      </c>
      <c r="B947">
        <v>1.5335E-2</v>
      </c>
      <c r="C947">
        <v>2698065</v>
      </c>
      <c r="D947">
        <v>3777351</v>
      </c>
    </row>
    <row r="948" spans="1:4" x14ac:dyDescent="0.45">
      <c r="A948" s="1" t="s">
        <v>11</v>
      </c>
      <c r="B948">
        <v>2.6648000000000002E-2</v>
      </c>
      <c r="C948">
        <v>4299957</v>
      </c>
      <c r="D948">
        <v>8369337</v>
      </c>
    </row>
    <row r="949" spans="1:4" x14ac:dyDescent="0.45">
      <c r="A949" s="1" t="s">
        <v>12</v>
      </c>
      <c r="B949">
        <v>1.5226E-2</v>
      </c>
      <c r="C949">
        <v>2612628</v>
      </c>
      <c r="D949">
        <v>3806518</v>
      </c>
    </row>
    <row r="950" spans="1:4" x14ac:dyDescent="0.45">
      <c r="A950" s="1" t="s">
        <v>13</v>
      </c>
      <c r="B950">
        <v>1.5431E-2</v>
      </c>
      <c r="C950">
        <v>2863623</v>
      </c>
      <c r="D950">
        <v>3808392</v>
      </c>
    </row>
    <row r="951" spans="1:4" x14ac:dyDescent="0.45">
      <c r="A951" s="1" t="s">
        <v>14</v>
      </c>
      <c r="B951">
        <v>1.5058999999999999E-2</v>
      </c>
      <c r="C951">
        <v>2573840</v>
      </c>
      <c r="D951">
        <v>3752676</v>
      </c>
    </row>
    <row r="952" spans="1:4" x14ac:dyDescent="0.45">
      <c r="A952" s="1" t="s">
        <v>15</v>
      </c>
      <c r="B952">
        <v>1.5134E-2</v>
      </c>
      <c r="C952">
        <v>2700324</v>
      </c>
      <c r="D952">
        <v>3604228</v>
      </c>
    </row>
    <row r="953" spans="1:4" x14ac:dyDescent="0.45">
      <c r="A953" s="1" t="s">
        <v>16</v>
      </c>
      <c r="B953">
        <v>1.5461000000000001E-2</v>
      </c>
      <c r="C953">
        <v>2743317</v>
      </c>
      <c r="D953">
        <v>3638822</v>
      </c>
    </row>
    <row r="954" spans="1:4" x14ac:dyDescent="0.45">
      <c r="A954" s="1" t="s">
        <v>17</v>
      </c>
      <c r="B954">
        <v>1.6032999999999999E-2</v>
      </c>
      <c r="C954">
        <v>2661348</v>
      </c>
      <c r="D954">
        <v>3613469</v>
      </c>
    </row>
    <row r="955" spans="1:4" x14ac:dyDescent="0.45">
      <c r="A955" s="1" t="s">
        <v>18</v>
      </c>
      <c r="B955">
        <v>1.5726E-2</v>
      </c>
      <c r="C955">
        <v>2658929</v>
      </c>
      <c r="D955">
        <v>3762366</v>
      </c>
    </row>
    <row r="956" spans="1:4" x14ac:dyDescent="0.45">
      <c r="A956" s="1" t="s">
        <v>19</v>
      </c>
      <c r="B956">
        <v>1.8770999999999999E-2</v>
      </c>
      <c r="C956">
        <v>2995509</v>
      </c>
      <c r="D956">
        <v>5126275</v>
      </c>
    </row>
    <row r="957" spans="1:4" x14ac:dyDescent="0.45">
      <c r="A957" s="1" t="s">
        <v>20</v>
      </c>
      <c r="B957">
        <v>4.4200999999999997E-2</v>
      </c>
      <c r="C957">
        <v>6586476</v>
      </c>
      <c r="D957">
        <v>15639214</v>
      </c>
    </row>
    <row r="958" spans="1:4" x14ac:dyDescent="0.45">
      <c r="A958" s="1" t="s">
        <v>21</v>
      </c>
      <c r="B958">
        <v>2.3049E-2</v>
      </c>
      <c r="C958">
        <v>3632940</v>
      </c>
      <c r="D958">
        <v>6203136</v>
      </c>
    </row>
    <row r="959" spans="1:4" x14ac:dyDescent="0.45">
      <c r="A959" s="1" t="s">
        <v>22</v>
      </c>
      <c r="B959">
        <v>1.5890999999999999E-2</v>
      </c>
      <c r="C959">
        <v>2677851</v>
      </c>
      <c r="D959">
        <v>3718829</v>
      </c>
    </row>
    <row r="960" spans="1:4" x14ac:dyDescent="0.45">
      <c r="A960" s="1" t="s">
        <v>23</v>
      </c>
      <c r="B960">
        <v>1.5544000000000001E-2</v>
      </c>
      <c r="C960">
        <v>2769780</v>
      </c>
      <c r="D960">
        <v>3814960</v>
      </c>
    </row>
    <row r="961" spans="1:4" x14ac:dyDescent="0.45">
      <c r="A961" s="1" t="s">
        <v>24</v>
      </c>
      <c r="B961">
        <v>4.1429000000000001E-2</v>
      </c>
      <c r="C961">
        <v>6522852</v>
      </c>
      <c r="D961">
        <v>15549128</v>
      </c>
    </row>
    <row r="962" spans="1:4" x14ac:dyDescent="0.45">
      <c r="A962" s="1" t="s">
        <v>25</v>
      </c>
      <c r="B962">
        <v>1.6101000000000001E-2</v>
      </c>
      <c r="C962">
        <v>2719726</v>
      </c>
      <c r="D962">
        <v>3984423</v>
      </c>
    </row>
    <row r="963" spans="1:4" x14ac:dyDescent="0.45">
      <c r="A963" s="1" t="s">
        <v>26</v>
      </c>
      <c r="B963">
        <v>5.602E-2</v>
      </c>
      <c r="C963">
        <v>8689046</v>
      </c>
      <c r="D963">
        <v>21870430</v>
      </c>
    </row>
    <row r="964" spans="1:4" x14ac:dyDescent="0.45">
      <c r="A964" s="1" t="s">
        <v>27</v>
      </c>
      <c r="B964">
        <v>4.4630999999999997E-2</v>
      </c>
      <c r="C964">
        <v>6968369</v>
      </c>
      <c r="D964">
        <v>16089027</v>
      </c>
    </row>
    <row r="965" spans="1:4" x14ac:dyDescent="0.45">
      <c r="A965" s="1" t="s">
        <v>28</v>
      </c>
      <c r="B965">
        <v>5.3952E-2</v>
      </c>
      <c r="C965">
        <v>8204223</v>
      </c>
      <c r="D965">
        <v>20065300</v>
      </c>
    </row>
    <row r="966" spans="1:4" x14ac:dyDescent="0.45">
      <c r="A966" s="1" t="s">
        <v>29</v>
      </c>
      <c r="B966">
        <v>2.2296E-2</v>
      </c>
      <c r="C966">
        <v>3664547</v>
      </c>
      <c r="D966">
        <v>6907263</v>
      </c>
    </row>
    <row r="967" spans="1:4" x14ac:dyDescent="0.45">
      <c r="A967" s="1" t="s">
        <v>30</v>
      </c>
      <c r="B967">
        <v>2.3144999999999999E-2</v>
      </c>
      <c r="C967">
        <v>3706484</v>
      </c>
      <c r="D967">
        <v>7121687</v>
      </c>
    </row>
    <row r="968" spans="1:4" x14ac:dyDescent="0.45">
      <c r="A968" s="1" t="s">
        <v>31</v>
      </c>
      <c r="B968">
        <v>1.5377E-2</v>
      </c>
      <c r="C968">
        <v>2675180</v>
      </c>
      <c r="D968">
        <v>3708001</v>
      </c>
    </row>
    <row r="969" spans="1:4" x14ac:dyDescent="0.45">
      <c r="A969" s="1" t="s">
        <v>32</v>
      </c>
      <c r="B969">
        <v>1.5349E-2</v>
      </c>
      <c r="C969">
        <v>2681025</v>
      </c>
      <c r="D969">
        <v>3663424</v>
      </c>
    </row>
    <row r="970" spans="1:4" x14ac:dyDescent="0.45">
      <c r="A970" s="1" t="s">
        <v>33</v>
      </c>
      <c r="B970">
        <v>1.6232E-2</v>
      </c>
      <c r="C970">
        <v>2807442</v>
      </c>
      <c r="D970">
        <v>4216957</v>
      </c>
    </row>
    <row r="971" spans="1:4" x14ac:dyDescent="0.45">
      <c r="A971" s="1" t="s">
        <v>34</v>
      </c>
      <c r="B971">
        <v>4.7377000000000002E-2</v>
      </c>
      <c r="C971">
        <v>7343509</v>
      </c>
      <c r="D971">
        <v>17706188</v>
      </c>
    </row>
    <row r="972" spans="1:4" x14ac:dyDescent="0.45">
      <c r="A972" s="1" t="s">
        <v>35</v>
      </c>
      <c r="B972">
        <v>2.8833999999999999E-2</v>
      </c>
      <c r="C972">
        <v>4632989</v>
      </c>
      <c r="D972">
        <v>9200542</v>
      </c>
    </row>
    <row r="973" spans="1:4" x14ac:dyDescent="0.45">
      <c r="A973" s="1" t="s">
        <v>36</v>
      </c>
      <c r="B973">
        <v>4.7289999999999999E-2</v>
      </c>
      <c r="C973">
        <v>7281054</v>
      </c>
      <c r="D973">
        <v>17743767</v>
      </c>
    </row>
    <row r="974" spans="1:4" x14ac:dyDescent="0.45">
      <c r="A974" s="1" t="s">
        <v>37</v>
      </c>
      <c r="B974">
        <v>3.0138000000000002E-2</v>
      </c>
      <c r="C974">
        <v>4902402</v>
      </c>
      <c r="D974">
        <v>10398306</v>
      </c>
    </row>
    <row r="975" spans="1:4" x14ac:dyDescent="0.45">
      <c r="A975" s="1" t="s">
        <v>38</v>
      </c>
      <c r="B975">
        <v>1.5337999999999999E-2</v>
      </c>
      <c r="C975">
        <v>2591634</v>
      </c>
      <c r="D975">
        <v>3865637</v>
      </c>
    </row>
    <row r="976" spans="1:4" x14ac:dyDescent="0.45">
      <c r="A976" s="1" t="s">
        <v>39</v>
      </c>
      <c r="B976">
        <v>3.0096999999999999E-2</v>
      </c>
      <c r="C976">
        <v>4672695</v>
      </c>
      <c r="D976">
        <v>10331145</v>
      </c>
    </row>
    <row r="977" spans="1:4" x14ac:dyDescent="0.45">
      <c r="A977" s="1" t="s">
        <v>40</v>
      </c>
      <c r="B977">
        <v>1.4994E-2</v>
      </c>
      <c r="C977">
        <v>2720641</v>
      </c>
      <c r="D977">
        <v>3821651</v>
      </c>
    </row>
    <row r="978" spans="1:4" x14ac:dyDescent="0.45">
      <c r="A978" s="1" t="s">
        <v>41</v>
      </c>
      <c r="B978">
        <v>4.5044000000000001E-2</v>
      </c>
      <c r="C978">
        <v>7185395</v>
      </c>
      <c r="D978">
        <v>16900483</v>
      </c>
    </row>
    <row r="979" spans="1:4" x14ac:dyDescent="0.45">
      <c r="A979" s="1" t="s">
        <v>42</v>
      </c>
      <c r="B979">
        <v>1.5216E-2</v>
      </c>
      <c r="C979">
        <v>2641780</v>
      </c>
      <c r="D979">
        <v>3715263</v>
      </c>
    </row>
    <row r="980" spans="1:4" x14ac:dyDescent="0.45">
      <c r="A980" s="1" t="s">
        <v>43</v>
      </c>
      <c r="B980">
        <v>3.5922999999999997E-2</v>
      </c>
      <c r="C980">
        <v>5718538</v>
      </c>
      <c r="D980">
        <v>12626044</v>
      </c>
    </row>
    <row r="981" spans="1:4" x14ac:dyDescent="0.45">
      <c r="A981" s="1" t="s">
        <v>44</v>
      </c>
      <c r="B981">
        <v>1.523E-2</v>
      </c>
      <c r="C981">
        <v>2564035</v>
      </c>
      <c r="D981">
        <v>3547873</v>
      </c>
    </row>
    <row r="982" spans="1:4" x14ac:dyDescent="0.45">
      <c r="A982" s="1" t="s">
        <v>45</v>
      </c>
      <c r="B982">
        <v>1.6813999999999999E-2</v>
      </c>
      <c r="C982">
        <v>2528024</v>
      </c>
      <c r="D982">
        <v>3657162</v>
      </c>
    </row>
    <row r="983" spans="1:4" x14ac:dyDescent="0.45">
      <c r="A983" s="1" t="s">
        <v>46</v>
      </c>
      <c r="B983">
        <v>5.5343000000000003E-2</v>
      </c>
      <c r="C983">
        <v>8525431</v>
      </c>
      <c r="D983">
        <v>21411529</v>
      </c>
    </row>
    <row r="984" spans="1:4" x14ac:dyDescent="0.45">
      <c r="A984" s="1" t="s">
        <v>47</v>
      </c>
      <c r="B984">
        <v>4.1850999999999999E-2</v>
      </c>
      <c r="C984">
        <v>6528669</v>
      </c>
      <c r="D984">
        <v>15448649</v>
      </c>
    </row>
    <row r="985" spans="1:4" x14ac:dyDescent="0.45">
      <c r="A985" s="1" t="s">
        <v>48</v>
      </c>
      <c r="B985">
        <v>2.5148E-2</v>
      </c>
      <c r="C985">
        <v>4162505</v>
      </c>
      <c r="D985">
        <v>7978252</v>
      </c>
    </row>
    <row r="986" spans="1:4" x14ac:dyDescent="0.45">
      <c r="A986" s="1" t="s">
        <v>49</v>
      </c>
      <c r="B986">
        <v>2.4511000000000002E-2</v>
      </c>
      <c r="C986">
        <v>3993507</v>
      </c>
      <c r="D986">
        <v>8067641</v>
      </c>
    </row>
    <row r="987" spans="1:4" x14ac:dyDescent="0.45">
      <c r="A987" s="1" t="s">
        <v>50</v>
      </c>
      <c r="B987">
        <v>1.5337999999999999E-2</v>
      </c>
      <c r="C987">
        <v>2515322</v>
      </c>
      <c r="D987">
        <v>3915699</v>
      </c>
    </row>
    <row r="988" spans="1:4" x14ac:dyDescent="0.45">
      <c r="A988" s="1" t="s">
        <v>51</v>
      </c>
      <c r="B988">
        <v>5.3802999999999997E-2</v>
      </c>
      <c r="C988">
        <v>8028043</v>
      </c>
      <c r="D988">
        <v>20189755</v>
      </c>
    </row>
    <row r="989" spans="1:4" x14ac:dyDescent="0.45">
      <c r="A989" s="1" t="s">
        <v>52</v>
      </c>
      <c r="B989">
        <v>4.0404000000000002E-2</v>
      </c>
      <c r="C989">
        <v>5671363</v>
      </c>
      <c r="D989">
        <v>12681582</v>
      </c>
    </row>
    <row r="990" spans="1:4" x14ac:dyDescent="0.45">
      <c r="A990" s="1" t="s">
        <v>53</v>
      </c>
      <c r="B990">
        <v>1.549E-2</v>
      </c>
      <c r="C990">
        <v>2662292</v>
      </c>
      <c r="D990">
        <v>3749949</v>
      </c>
    </row>
    <row r="991" spans="1:4" x14ac:dyDescent="0.45">
      <c r="A991" s="1" t="s">
        <v>54</v>
      </c>
      <c r="B991">
        <v>2.7546999999999999E-2</v>
      </c>
      <c r="C991">
        <v>4246517</v>
      </c>
      <c r="D991">
        <v>8502837</v>
      </c>
    </row>
    <row r="992" spans="1:4" x14ac:dyDescent="0.45">
      <c r="A992" s="1" t="s">
        <v>55</v>
      </c>
      <c r="B992">
        <v>1.7013E-2</v>
      </c>
      <c r="C992">
        <v>2631155</v>
      </c>
      <c r="D992">
        <v>4326226</v>
      </c>
    </row>
    <row r="993" spans="1:4" x14ac:dyDescent="0.45">
      <c r="A993" s="1" t="s">
        <v>56</v>
      </c>
      <c r="B993">
        <v>1.5767E-2</v>
      </c>
      <c r="C993">
        <v>2524274</v>
      </c>
      <c r="D993">
        <v>3825528</v>
      </c>
    </row>
    <row r="994" spans="1:4" x14ac:dyDescent="0.45">
      <c r="A994" s="1" t="s">
        <v>66</v>
      </c>
      <c r="B994">
        <f>AVERAGE(B944:B993)</f>
        <v>2.7282080000000004E-2</v>
      </c>
      <c r="C994">
        <f>AVERAGE(C944:C993)</f>
        <v>4354088.0599999996</v>
      </c>
      <c r="D994">
        <f>AVERAGE(D944:D993)</f>
        <v>8844194.6600000001</v>
      </c>
    </row>
    <row r="995" spans="1:4" x14ac:dyDescent="0.45">
      <c r="A995" s="1" t="s">
        <v>67</v>
      </c>
      <c r="B995">
        <f>_xlfn.VAR.S(B944:B993)</f>
        <v>2.020965310138774E-4</v>
      </c>
      <c r="C995">
        <f>_xlfn.VAR.S(C944:C993)</f>
        <v>4302562797928.5483</v>
      </c>
      <c r="D995">
        <f>_xlfn.VAR.S(D944:D993)</f>
        <v>38410441027323.898</v>
      </c>
    </row>
    <row r="996" spans="1:4" x14ac:dyDescent="0.45">
      <c r="A996" s="1" t="s">
        <v>68</v>
      </c>
      <c r="B996">
        <f>MAX(B944:B993)</f>
        <v>5.602E-2</v>
      </c>
      <c r="C996">
        <f>MAX(C944:C993)</f>
        <v>8689046</v>
      </c>
      <c r="D996">
        <f>MAX(D944:D993)</f>
        <v>21870430</v>
      </c>
    </row>
    <row r="997" spans="1:4" x14ac:dyDescent="0.45">
      <c r="A997" s="1" t="s">
        <v>58</v>
      </c>
    </row>
    <row r="998" spans="1:4" x14ac:dyDescent="0.45">
      <c r="A998" s="1" t="s">
        <v>7</v>
      </c>
      <c r="B998">
        <v>0.18274599999999999</v>
      </c>
      <c r="C998">
        <v>31788988</v>
      </c>
      <c r="D998">
        <v>44546186</v>
      </c>
    </row>
    <row r="999" spans="1:4" x14ac:dyDescent="0.45">
      <c r="A999" s="1" t="s">
        <v>8</v>
      </c>
      <c r="B999">
        <v>1.235177</v>
      </c>
      <c r="C999">
        <v>187644006</v>
      </c>
      <c r="D999">
        <v>516733745</v>
      </c>
    </row>
    <row r="1000" spans="1:4" x14ac:dyDescent="0.45">
      <c r="A1000" s="1" t="s">
        <v>9</v>
      </c>
      <c r="B1000">
        <v>0.58268200000000003</v>
      </c>
      <c r="C1000">
        <v>91131575</v>
      </c>
      <c r="D1000">
        <v>222840481</v>
      </c>
    </row>
    <row r="1001" spans="1:4" x14ac:dyDescent="0.45">
      <c r="A1001" s="1" t="s">
        <v>10</v>
      </c>
      <c r="B1001">
        <v>0.19159000000000001</v>
      </c>
      <c r="C1001">
        <v>31427410</v>
      </c>
      <c r="D1001">
        <v>49924264</v>
      </c>
    </row>
    <row r="1002" spans="1:4" x14ac:dyDescent="0.45">
      <c r="A1002" s="1" t="s">
        <v>11</v>
      </c>
      <c r="B1002">
        <v>0.18418799999999999</v>
      </c>
      <c r="C1002">
        <v>31217669</v>
      </c>
      <c r="D1002">
        <v>43595680</v>
      </c>
    </row>
    <row r="1003" spans="1:4" x14ac:dyDescent="0.45">
      <c r="A1003" s="1" t="s">
        <v>12</v>
      </c>
      <c r="B1003">
        <v>0.78929899999999997</v>
      </c>
      <c r="C1003">
        <v>122200869</v>
      </c>
      <c r="D1003">
        <v>316629616</v>
      </c>
    </row>
    <row r="1004" spans="1:4" x14ac:dyDescent="0.45">
      <c r="A1004" s="1" t="s">
        <v>13</v>
      </c>
      <c r="B1004">
        <v>0.18238099999999999</v>
      </c>
      <c r="C1004">
        <v>30262343</v>
      </c>
      <c r="D1004">
        <v>44661012</v>
      </c>
    </row>
    <row r="1005" spans="1:4" x14ac:dyDescent="0.45">
      <c r="A1005" s="1" t="s">
        <v>14</v>
      </c>
      <c r="B1005">
        <v>1.088381</v>
      </c>
      <c r="C1005">
        <v>166994139</v>
      </c>
      <c r="D1005">
        <v>452881408</v>
      </c>
    </row>
    <row r="1006" spans="1:4" x14ac:dyDescent="0.45">
      <c r="A1006" s="1" t="s">
        <v>15</v>
      </c>
      <c r="B1006">
        <v>0.177925</v>
      </c>
      <c r="C1006">
        <v>30636503</v>
      </c>
      <c r="D1006">
        <v>43457321</v>
      </c>
    </row>
    <row r="1007" spans="1:4" x14ac:dyDescent="0.45">
      <c r="A1007" s="1" t="s">
        <v>16</v>
      </c>
      <c r="B1007">
        <v>0.184445</v>
      </c>
      <c r="C1007">
        <v>32449659</v>
      </c>
      <c r="D1007">
        <v>45576257</v>
      </c>
    </row>
    <row r="1008" spans="1:4" x14ac:dyDescent="0.45">
      <c r="A1008" s="1" t="s">
        <v>17</v>
      </c>
      <c r="B1008">
        <v>0.18539</v>
      </c>
      <c r="C1008">
        <v>31548835</v>
      </c>
      <c r="D1008">
        <v>45797452</v>
      </c>
    </row>
    <row r="1009" spans="1:4" x14ac:dyDescent="0.45">
      <c r="A1009" s="1" t="s">
        <v>18</v>
      </c>
      <c r="B1009">
        <v>0.178789</v>
      </c>
      <c r="C1009">
        <v>30755910</v>
      </c>
      <c r="D1009">
        <v>43735445</v>
      </c>
    </row>
    <row r="1010" spans="1:4" x14ac:dyDescent="0.45">
      <c r="A1010" s="1" t="s">
        <v>19</v>
      </c>
      <c r="B1010">
        <v>0.18116199999999999</v>
      </c>
      <c r="C1010">
        <v>30170233</v>
      </c>
      <c r="D1010">
        <v>44764699</v>
      </c>
    </row>
    <row r="1011" spans="1:4" x14ac:dyDescent="0.45">
      <c r="A1011" s="1" t="s">
        <v>20</v>
      </c>
      <c r="B1011">
        <v>1.1212409999999999</v>
      </c>
      <c r="C1011">
        <v>171982262</v>
      </c>
      <c r="D1011">
        <v>468937340</v>
      </c>
    </row>
    <row r="1012" spans="1:4" x14ac:dyDescent="0.45">
      <c r="A1012" s="1" t="s">
        <v>21</v>
      </c>
      <c r="B1012">
        <v>1.330559</v>
      </c>
      <c r="C1012">
        <v>204067649</v>
      </c>
      <c r="D1012">
        <v>565040072</v>
      </c>
    </row>
    <row r="1013" spans="1:4" x14ac:dyDescent="0.45">
      <c r="A1013" s="1" t="s">
        <v>22</v>
      </c>
      <c r="B1013">
        <v>0.35099399999999997</v>
      </c>
      <c r="C1013">
        <v>54864782</v>
      </c>
      <c r="D1013">
        <v>118781482</v>
      </c>
    </row>
    <row r="1014" spans="1:4" x14ac:dyDescent="0.45">
      <c r="A1014" s="1" t="s">
        <v>23</v>
      </c>
      <c r="B1014">
        <v>0.410279</v>
      </c>
      <c r="C1014">
        <v>64414360</v>
      </c>
      <c r="D1014">
        <v>147612349</v>
      </c>
    </row>
    <row r="1015" spans="1:4" x14ac:dyDescent="0.45">
      <c r="A1015" s="1" t="s">
        <v>24</v>
      </c>
      <c r="B1015">
        <v>0.543265</v>
      </c>
      <c r="C1015">
        <v>84355776</v>
      </c>
      <c r="D1015">
        <v>203875287</v>
      </c>
    </row>
    <row r="1016" spans="1:4" x14ac:dyDescent="0.45">
      <c r="A1016" s="1" t="s">
        <v>25</v>
      </c>
      <c r="B1016">
        <v>1.054624</v>
      </c>
      <c r="C1016">
        <v>161451393</v>
      </c>
      <c r="D1016">
        <v>436960062</v>
      </c>
    </row>
    <row r="1017" spans="1:4" x14ac:dyDescent="0.45">
      <c r="A1017" s="1" t="s">
        <v>26</v>
      </c>
      <c r="B1017">
        <v>1.216818</v>
      </c>
      <c r="C1017">
        <v>186739055</v>
      </c>
      <c r="D1017">
        <v>520181067</v>
      </c>
    </row>
    <row r="1018" spans="1:4" x14ac:dyDescent="0.45">
      <c r="A1018" s="1" t="s">
        <v>27</v>
      </c>
      <c r="B1018">
        <v>0.78301200000000004</v>
      </c>
      <c r="C1018">
        <v>121156569</v>
      </c>
      <c r="D1018">
        <v>316892337</v>
      </c>
    </row>
    <row r="1019" spans="1:4" x14ac:dyDescent="0.45">
      <c r="A1019" s="1" t="s">
        <v>28</v>
      </c>
      <c r="B1019">
        <v>0.84145000000000003</v>
      </c>
      <c r="C1019">
        <v>130066267</v>
      </c>
      <c r="D1019">
        <v>342025778</v>
      </c>
    </row>
    <row r="1020" spans="1:4" x14ac:dyDescent="0.45">
      <c r="A1020" s="1" t="s">
        <v>29</v>
      </c>
      <c r="B1020">
        <v>1.3424499999999999</v>
      </c>
      <c r="C1020">
        <v>207297869</v>
      </c>
      <c r="D1020">
        <v>571090499</v>
      </c>
    </row>
    <row r="1021" spans="1:4" x14ac:dyDescent="0.45">
      <c r="A1021" s="1" t="s">
        <v>30</v>
      </c>
      <c r="B1021">
        <v>0.17730499999999999</v>
      </c>
      <c r="C1021">
        <v>31664941</v>
      </c>
      <c r="D1021">
        <v>44011347</v>
      </c>
    </row>
    <row r="1022" spans="1:4" x14ac:dyDescent="0.45">
      <c r="A1022" s="1" t="s">
        <v>31</v>
      </c>
      <c r="B1022">
        <v>0.182397</v>
      </c>
      <c r="C1022">
        <v>31735686</v>
      </c>
      <c r="D1022">
        <v>43549361</v>
      </c>
    </row>
    <row r="1023" spans="1:4" x14ac:dyDescent="0.45">
      <c r="A1023" s="1" t="s">
        <v>32</v>
      </c>
      <c r="B1023">
        <v>0.185641</v>
      </c>
      <c r="C1023">
        <v>31037147</v>
      </c>
      <c r="D1023">
        <v>44102299</v>
      </c>
    </row>
    <row r="1024" spans="1:4" x14ac:dyDescent="0.45">
      <c r="A1024" s="1" t="s">
        <v>33</v>
      </c>
      <c r="B1024">
        <v>0.85614900000000005</v>
      </c>
      <c r="C1024">
        <v>131863251</v>
      </c>
      <c r="D1024">
        <v>348763754</v>
      </c>
    </row>
    <row r="1025" spans="1:4" x14ac:dyDescent="0.45">
      <c r="A1025" s="1" t="s">
        <v>34</v>
      </c>
      <c r="B1025">
        <v>0.41742099999999999</v>
      </c>
      <c r="C1025">
        <v>64321596</v>
      </c>
      <c r="D1025">
        <v>147243259</v>
      </c>
    </row>
    <row r="1026" spans="1:4" x14ac:dyDescent="0.45">
      <c r="A1026" s="1" t="s">
        <v>35</v>
      </c>
      <c r="B1026">
        <v>1.3918140000000001</v>
      </c>
      <c r="C1026">
        <v>213243654</v>
      </c>
      <c r="D1026">
        <v>588544765</v>
      </c>
    </row>
    <row r="1027" spans="1:4" x14ac:dyDescent="0.45">
      <c r="A1027" s="1" t="s">
        <v>36</v>
      </c>
      <c r="B1027">
        <v>0.350024</v>
      </c>
      <c r="C1027">
        <v>54778937</v>
      </c>
      <c r="D1027">
        <v>114522555</v>
      </c>
    </row>
    <row r="1028" spans="1:4" x14ac:dyDescent="0.45">
      <c r="A1028" s="1" t="s">
        <v>37</v>
      </c>
      <c r="B1028">
        <v>1.1240250000000001</v>
      </c>
      <c r="C1028">
        <v>172691995</v>
      </c>
      <c r="D1028">
        <v>466096014</v>
      </c>
    </row>
    <row r="1029" spans="1:4" x14ac:dyDescent="0.45">
      <c r="A1029" s="1" t="s">
        <v>38</v>
      </c>
      <c r="B1029">
        <v>0.387318</v>
      </c>
      <c r="C1029">
        <v>61771941</v>
      </c>
      <c r="D1029">
        <v>135473184</v>
      </c>
    </row>
    <row r="1030" spans="1:4" x14ac:dyDescent="0.45">
      <c r="A1030" s="1" t="s">
        <v>39</v>
      </c>
      <c r="B1030">
        <v>0.18867500000000001</v>
      </c>
      <c r="C1030">
        <v>31881349</v>
      </c>
      <c r="D1030">
        <v>48295893</v>
      </c>
    </row>
    <row r="1031" spans="1:4" x14ac:dyDescent="0.45">
      <c r="A1031" s="1" t="s">
        <v>40</v>
      </c>
      <c r="B1031">
        <v>1.1464270000000001</v>
      </c>
      <c r="C1031">
        <v>175159923</v>
      </c>
      <c r="D1031">
        <v>478498724</v>
      </c>
    </row>
    <row r="1032" spans="1:4" x14ac:dyDescent="0.45">
      <c r="A1032" s="1" t="s">
        <v>41</v>
      </c>
      <c r="B1032">
        <v>1.4036869999999999</v>
      </c>
      <c r="C1032">
        <v>213745866</v>
      </c>
      <c r="D1032">
        <v>593830798</v>
      </c>
    </row>
    <row r="1033" spans="1:4" x14ac:dyDescent="0.45">
      <c r="A1033" s="1" t="s">
        <v>42</v>
      </c>
      <c r="B1033">
        <v>0.98242499999999999</v>
      </c>
      <c r="C1033">
        <v>151349645</v>
      </c>
      <c r="D1033">
        <v>400847782</v>
      </c>
    </row>
    <row r="1034" spans="1:4" x14ac:dyDescent="0.45">
      <c r="A1034" s="1" t="s">
        <v>43</v>
      </c>
      <c r="B1034">
        <v>0.177978</v>
      </c>
      <c r="C1034">
        <v>29535681</v>
      </c>
      <c r="D1034">
        <v>44671074</v>
      </c>
    </row>
    <row r="1035" spans="1:4" x14ac:dyDescent="0.45">
      <c r="A1035" s="1" t="s">
        <v>44</v>
      </c>
      <c r="B1035">
        <v>0.226551</v>
      </c>
      <c r="C1035">
        <v>37964225</v>
      </c>
      <c r="D1035">
        <v>64466654</v>
      </c>
    </row>
    <row r="1036" spans="1:4" x14ac:dyDescent="0.45">
      <c r="A1036" s="1" t="s">
        <v>45</v>
      </c>
      <c r="B1036">
        <v>0.18001500000000001</v>
      </c>
      <c r="C1036">
        <v>32259411</v>
      </c>
      <c r="D1036">
        <v>43869347</v>
      </c>
    </row>
    <row r="1037" spans="1:4" x14ac:dyDescent="0.45">
      <c r="A1037" s="1" t="s">
        <v>46</v>
      </c>
      <c r="B1037">
        <v>0.21066499999999999</v>
      </c>
      <c r="C1037">
        <v>35400744</v>
      </c>
      <c r="D1037">
        <v>56029824</v>
      </c>
    </row>
    <row r="1038" spans="1:4" x14ac:dyDescent="0.45">
      <c r="A1038" s="1" t="s">
        <v>47</v>
      </c>
      <c r="B1038">
        <v>0.45014799999999999</v>
      </c>
      <c r="C1038">
        <v>72705440</v>
      </c>
      <c r="D1038">
        <v>165551110</v>
      </c>
    </row>
    <row r="1039" spans="1:4" x14ac:dyDescent="0.45">
      <c r="A1039" s="1" t="s">
        <v>48</v>
      </c>
      <c r="B1039">
        <v>0.17902100000000001</v>
      </c>
      <c r="C1039">
        <v>30595881</v>
      </c>
      <c r="D1039">
        <v>44238582</v>
      </c>
    </row>
    <row r="1040" spans="1:4" x14ac:dyDescent="0.45">
      <c r="A1040" s="1" t="s">
        <v>49</v>
      </c>
      <c r="B1040">
        <v>0.76789399999999997</v>
      </c>
      <c r="C1040">
        <v>118864579</v>
      </c>
      <c r="D1040">
        <v>309114806</v>
      </c>
    </row>
    <row r="1041" spans="1:4" x14ac:dyDescent="0.45">
      <c r="A1041" s="1" t="s">
        <v>50</v>
      </c>
      <c r="B1041">
        <v>0.18027399999999999</v>
      </c>
      <c r="C1041">
        <v>30942313</v>
      </c>
      <c r="D1041">
        <v>45620426</v>
      </c>
    </row>
    <row r="1042" spans="1:4" x14ac:dyDescent="0.45">
      <c r="A1042" s="1" t="s">
        <v>51</v>
      </c>
      <c r="B1042">
        <v>0.25543300000000002</v>
      </c>
      <c r="C1042">
        <v>42706144</v>
      </c>
      <c r="D1042">
        <v>76307583</v>
      </c>
    </row>
    <row r="1043" spans="1:4" x14ac:dyDescent="0.45">
      <c r="A1043" s="1" t="s">
        <v>52</v>
      </c>
      <c r="B1043">
        <v>1.023425</v>
      </c>
      <c r="C1043">
        <v>157271040</v>
      </c>
      <c r="D1043">
        <v>427321346</v>
      </c>
    </row>
    <row r="1044" spans="1:4" x14ac:dyDescent="0.45">
      <c r="A1044" s="1" t="s">
        <v>53</v>
      </c>
      <c r="B1044">
        <v>0.21529300000000001</v>
      </c>
      <c r="C1044">
        <v>35664783</v>
      </c>
      <c r="D1044">
        <v>61139688</v>
      </c>
    </row>
    <row r="1045" spans="1:4" x14ac:dyDescent="0.45">
      <c r="A1045" s="1" t="s">
        <v>54</v>
      </c>
      <c r="B1045">
        <v>1.0127820000000001</v>
      </c>
      <c r="C1045">
        <v>157345054</v>
      </c>
      <c r="D1045">
        <v>422287839</v>
      </c>
    </row>
    <row r="1046" spans="1:4" x14ac:dyDescent="0.45">
      <c r="A1046" s="1" t="s">
        <v>55</v>
      </c>
      <c r="B1046">
        <v>0.33829599999999999</v>
      </c>
      <c r="C1046">
        <v>52835827</v>
      </c>
      <c r="D1046">
        <v>115181194</v>
      </c>
    </row>
    <row r="1047" spans="1:4" x14ac:dyDescent="0.45">
      <c r="A1047" s="1" t="s">
        <v>56</v>
      </c>
      <c r="B1047">
        <v>0.31988899999999998</v>
      </c>
      <c r="C1047">
        <v>51916480</v>
      </c>
      <c r="D1047">
        <v>107217347</v>
      </c>
    </row>
    <row r="1048" spans="1:4" x14ac:dyDescent="0.45">
      <c r="A1048" s="1" t="s">
        <v>66</v>
      </c>
      <c r="B1048">
        <f>AVERAGE(B998:B1047)</f>
        <v>0.57339637999999993</v>
      </c>
      <c r="C1048">
        <f>AVERAGE(C998:C1047)</f>
        <v>89717553.079999998</v>
      </c>
      <c r="D1048">
        <f>AVERAGE(D998:D1047)</f>
        <v>220866727.88</v>
      </c>
    </row>
    <row r="1049" spans="1:4" x14ac:dyDescent="0.45">
      <c r="A1049" s="1" t="s">
        <v>67</v>
      </c>
      <c r="B1049">
        <f>_xlfn.VAR.S(B998:B1047)</f>
        <v>0.18467652812542446</v>
      </c>
      <c r="C1049">
        <f>_xlfn.VAR.S(C998:C1047)</f>
        <v>4173475178786463.5</v>
      </c>
      <c r="D1049">
        <f>_xlfn.VAR.S(D998:D1047)</f>
        <v>3.7658103617838832E+16</v>
      </c>
    </row>
    <row r="1050" spans="1:4" x14ac:dyDescent="0.45">
      <c r="A1050" s="1" t="s">
        <v>68</v>
      </c>
      <c r="B1050">
        <f>MAX(B998:B1047)</f>
        <v>1.4036869999999999</v>
      </c>
      <c r="C1050">
        <f>MAX(C998:C1047)</f>
        <v>213745866</v>
      </c>
      <c r="D1050">
        <f>MAX(D998:D1047)</f>
        <v>593830798</v>
      </c>
    </row>
    <row r="1051" spans="1:4" x14ac:dyDescent="0.45">
      <c r="A1051" s="1" t="s">
        <v>59</v>
      </c>
    </row>
    <row r="1052" spans="1:4" x14ac:dyDescent="0.45">
      <c r="A1052" s="1" t="s">
        <v>7</v>
      </c>
      <c r="B1052">
        <v>6.397837</v>
      </c>
      <c r="C1052">
        <v>1001465561</v>
      </c>
      <c r="D1052">
        <v>2523527912</v>
      </c>
    </row>
    <row r="1053" spans="1:4" x14ac:dyDescent="0.45">
      <c r="A1053" s="1" t="s">
        <v>8</v>
      </c>
      <c r="B1053">
        <v>2.046367</v>
      </c>
      <c r="C1053">
        <v>340721995</v>
      </c>
      <c r="D1053">
        <v>507204405</v>
      </c>
    </row>
    <row r="1054" spans="1:4" x14ac:dyDescent="0.45">
      <c r="A1054" s="1" t="s">
        <v>9</v>
      </c>
      <c r="B1054">
        <v>35.262062999999998</v>
      </c>
      <c r="C1054">
        <v>5481670728</v>
      </c>
      <c r="D1054">
        <v>15909892593</v>
      </c>
    </row>
    <row r="1055" spans="1:4" x14ac:dyDescent="0.45">
      <c r="A1055" s="1" t="s">
        <v>10</v>
      </c>
      <c r="B1055">
        <v>21.033937999999999</v>
      </c>
      <c r="C1055">
        <v>3281499638</v>
      </c>
      <c r="D1055">
        <v>9296129922</v>
      </c>
    </row>
    <row r="1056" spans="1:4" x14ac:dyDescent="0.45">
      <c r="A1056" s="1" t="s">
        <v>11</v>
      </c>
      <c r="B1056">
        <v>21.537163</v>
      </c>
      <c r="C1056">
        <v>3329954613</v>
      </c>
      <c r="D1056">
        <v>9478444884</v>
      </c>
    </row>
    <row r="1057" spans="1:4" x14ac:dyDescent="0.45">
      <c r="A1057" s="1" t="s">
        <v>12</v>
      </c>
      <c r="B1057">
        <v>20.349463</v>
      </c>
      <c r="C1057">
        <v>3167966377</v>
      </c>
      <c r="D1057">
        <v>8984099629</v>
      </c>
    </row>
    <row r="1058" spans="1:4" x14ac:dyDescent="0.45">
      <c r="A1058" s="1" t="s">
        <v>13</v>
      </c>
      <c r="B1058">
        <v>2.0802849999999999</v>
      </c>
      <c r="C1058">
        <v>353011099</v>
      </c>
      <c r="D1058">
        <v>508840777</v>
      </c>
    </row>
    <row r="1059" spans="1:4" x14ac:dyDescent="0.45">
      <c r="A1059" s="1" t="s">
        <v>14</v>
      </c>
      <c r="B1059">
        <v>23.400088</v>
      </c>
      <c r="C1059">
        <v>3622359683</v>
      </c>
      <c r="D1059">
        <v>10322804971</v>
      </c>
    </row>
    <row r="1060" spans="1:4" x14ac:dyDescent="0.45">
      <c r="A1060" s="1" t="s">
        <v>15</v>
      </c>
      <c r="B1060">
        <v>42.047719000000001</v>
      </c>
      <c r="C1060">
        <v>6472354198</v>
      </c>
      <c r="D1060">
        <v>18911003425</v>
      </c>
    </row>
    <row r="1061" spans="1:4" x14ac:dyDescent="0.45">
      <c r="A1061" s="1" t="s">
        <v>16</v>
      </c>
      <c r="B1061">
        <v>8.5418389999999995</v>
      </c>
      <c r="C1061">
        <v>1350492271</v>
      </c>
      <c r="D1061">
        <v>3481216925</v>
      </c>
    </row>
    <row r="1062" spans="1:4" x14ac:dyDescent="0.45">
      <c r="A1062" s="1" t="s">
        <v>17</v>
      </c>
      <c r="B1062">
        <v>2.0702829999999999</v>
      </c>
      <c r="C1062">
        <v>348441281</v>
      </c>
      <c r="D1062">
        <v>518049298</v>
      </c>
    </row>
    <row r="1063" spans="1:4" x14ac:dyDescent="0.45">
      <c r="A1063" s="1" t="s">
        <v>18</v>
      </c>
      <c r="B1063">
        <v>26.186589000000001</v>
      </c>
      <c r="C1063">
        <v>4060896621</v>
      </c>
      <c r="D1063">
        <v>11705902983</v>
      </c>
    </row>
    <row r="1064" spans="1:4" x14ac:dyDescent="0.45">
      <c r="A1064" s="1" t="s">
        <v>19</v>
      </c>
      <c r="B1064">
        <v>33.149351000000003</v>
      </c>
      <c r="C1064">
        <v>5148851181</v>
      </c>
      <c r="D1064">
        <v>14964542558</v>
      </c>
    </row>
    <row r="1065" spans="1:4" x14ac:dyDescent="0.45">
      <c r="A1065" s="1" t="s">
        <v>20</v>
      </c>
      <c r="B1065">
        <v>17.289555</v>
      </c>
      <c r="C1065">
        <v>2696018777</v>
      </c>
      <c r="D1065">
        <v>7572669226</v>
      </c>
    </row>
    <row r="1066" spans="1:4" x14ac:dyDescent="0.45">
      <c r="A1066" s="1" t="s">
        <v>21</v>
      </c>
      <c r="B1066">
        <v>5.15747</v>
      </c>
      <c r="C1066">
        <v>816738222</v>
      </c>
      <c r="D1066">
        <v>1904661317</v>
      </c>
    </row>
    <row r="1067" spans="1:4" x14ac:dyDescent="0.45">
      <c r="A1067" s="1" t="s">
        <v>22</v>
      </c>
      <c r="B1067">
        <v>2.0774629999999998</v>
      </c>
      <c r="C1067">
        <v>367264883</v>
      </c>
      <c r="D1067">
        <v>509963918</v>
      </c>
    </row>
    <row r="1068" spans="1:4" x14ac:dyDescent="0.45">
      <c r="A1068" s="1" t="s">
        <v>23</v>
      </c>
      <c r="B1068">
        <v>2.047186</v>
      </c>
      <c r="C1068">
        <v>338190940</v>
      </c>
      <c r="D1068">
        <v>512723146</v>
      </c>
    </row>
    <row r="1069" spans="1:4" x14ac:dyDescent="0.45">
      <c r="A1069" s="1" t="s">
        <v>24</v>
      </c>
      <c r="B1069">
        <v>26.162319</v>
      </c>
      <c r="C1069">
        <v>4066433419</v>
      </c>
      <c r="D1069">
        <v>11688738446</v>
      </c>
    </row>
    <row r="1070" spans="1:4" x14ac:dyDescent="0.45">
      <c r="A1070" s="1" t="s">
        <v>25</v>
      </c>
      <c r="B1070">
        <v>30.739476</v>
      </c>
      <c r="C1070">
        <v>4769271086</v>
      </c>
      <c r="D1070">
        <v>13768000148</v>
      </c>
    </row>
    <row r="1071" spans="1:4" x14ac:dyDescent="0.45">
      <c r="A1071" s="1" t="s">
        <v>26</v>
      </c>
      <c r="B1071">
        <v>30.963567000000001</v>
      </c>
      <c r="C1071">
        <v>4818333725</v>
      </c>
      <c r="D1071">
        <v>13873455688</v>
      </c>
    </row>
    <row r="1072" spans="1:4" x14ac:dyDescent="0.45">
      <c r="A1072" s="1" t="s">
        <v>27</v>
      </c>
      <c r="B1072">
        <v>2.0713840000000001</v>
      </c>
      <c r="C1072">
        <v>358879897</v>
      </c>
      <c r="D1072">
        <v>513366389</v>
      </c>
    </row>
    <row r="1073" spans="1:4" x14ac:dyDescent="0.45">
      <c r="A1073" s="1" t="s">
        <v>28</v>
      </c>
      <c r="B1073">
        <v>2.063402</v>
      </c>
      <c r="C1073">
        <v>343146586</v>
      </c>
      <c r="D1073">
        <v>511980347</v>
      </c>
    </row>
    <row r="1074" spans="1:4" x14ac:dyDescent="0.45">
      <c r="A1074" s="1" t="s">
        <v>29</v>
      </c>
      <c r="B1074">
        <v>2.3406370000000001</v>
      </c>
      <c r="C1074">
        <v>392280438</v>
      </c>
      <c r="D1074">
        <v>628715730</v>
      </c>
    </row>
    <row r="1075" spans="1:4" x14ac:dyDescent="0.45">
      <c r="A1075" s="1" t="s">
        <v>30</v>
      </c>
      <c r="B1075">
        <v>13.43646</v>
      </c>
      <c r="C1075">
        <v>2102184485</v>
      </c>
      <c r="D1075">
        <v>5756126757</v>
      </c>
    </row>
    <row r="1076" spans="1:4" x14ac:dyDescent="0.45">
      <c r="A1076" s="1" t="s">
        <v>31</v>
      </c>
      <c r="B1076">
        <v>35.724283999999997</v>
      </c>
      <c r="C1076">
        <v>5551912677</v>
      </c>
      <c r="D1076">
        <v>16112307856</v>
      </c>
    </row>
    <row r="1077" spans="1:4" x14ac:dyDescent="0.45">
      <c r="A1077" s="1" t="s">
        <v>32</v>
      </c>
      <c r="B1077">
        <v>2.0490910000000002</v>
      </c>
      <c r="C1077">
        <v>340759922</v>
      </c>
      <c r="D1077">
        <v>515634851</v>
      </c>
    </row>
    <row r="1078" spans="1:4" x14ac:dyDescent="0.45">
      <c r="A1078" s="1" t="s">
        <v>33</v>
      </c>
      <c r="B1078">
        <v>2.0642239999999998</v>
      </c>
      <c r="C1078">
        <v>349448106</v>
      </c>
      <c r="D1078">
        <v>513864966</v>
      </c>
    </row>
    <row r="1079" spans="1:4" x14ac:dyDescent="0.45">
      <c r="A1079" s="1" t="s">
        <v>34</v>
      </c>
      <c r="B1079">
        <v>2.9286189999999999</v>
      </c>
      <c r="C1079">
        <v>480069142</v>
      </c>
      <c r="D1079">
        <v>913205169</v>
      </c>
    </row>
    <row r="1080" spans="1:4" x14ac:dyDescent="0.45">
      <c r="A1080" s="1" t="s">
        <v>35</v>
      </c>
      <c r="B1080">
        <v>2.1503950000000001</v>
      </c>
      <c r="C1080">
        <v>377604132</v>
      </c>
      <c r="D1080">
        <v>547908290</v>
      </c>
    </row>
    <row r="1081" spans="1:4" x14ac:dyDescent="0.45">
      <c r="A1081" s="1" t="s">
        <v>36</v>
      </c>
      <c r="B1081">
        <v>4.7243510000000004</v>
      </c>
      <c r="C1081">
        <v>749500097</v>
      </c>
      <c r="D1081">
        <v>1724953746</v>
      </c>
    </row>
    <row r="1082" spans="1:4" x14ac:dyDescent="0.45">
      <c r="A1082" s="1" t="s">
        <v>37</v>
      </c>
      <c r="B1082">
        <v>2.0577100000000002</v>
      </c>
      <c r="C1082">
        <v>345137973</v>
      </c>
      <c r="D1082">
        <v>512687018</v>
      </c>
    </row>
    <row r="1083" spans="1:4" x14ac:dyDescent="0.45">
      <c r="A1083" s="1" t="s">
        <v>38</v>
      </c>
      <c r="B1083">
        <v>2.0517249999999998</v>
      </c>
      <c r="C1083">
        <v>349701164</v>
      </c>
      <c r="D1083">
        <v>502242391</v>
      </c>
    </row>
    <row r="1084" spans="1:4" x14ac:dyDescent="0.45">
      <c r="A1084" s="1" t="s">
        <v>39</v>
      </c>
      <c r="B1084">
        <v>4.0033450000000004</v>
      </c>
      <c r="C1084">
        <v>636908434</v>
      </c>
      <c r="D1084">
        <v>1391694224</v>
      </c>
    </row>
    <row r="1085" spans="1:4" x14ac:dyDescent="0.45">
      <c r="A1085" s="1" t="s">
        <v>40</v>
      </c>
      <c r="B1085">
        <v>5.2352309999999997</v>
      </c>
      <c r="C1085">
        <v>822844566</v>
      </c>
      <c r="D1085">
        <v>1978985642</v>
      </c>
    </row>
    <row r="1086" spans="1:4" x14ac:dyDescent="0.45">
      <c r="A1086" s="1" t="s">
        <v>41</v>
      </c>
      <c r="B1086">
        <v>16.705991999999998</v>
      </c>
      <c r="C1086">
        <v>2599720303</v>
      </c>
      <c r="D1086">
        <v>7266726358</v>
      </c>
    </row>
    <row r="1087" spans="1:4" x14ac:dyDescent="0.45">
      <c r="A1087" s="1" t="s">
        <v>42</v>
      </c>
      <c r="B1087">
        <v>20.265037</v>
      </c>
      <c r="C1087">
        <v>3070405927</v>
      </c>
      <c r="D1087">
        <v>8714929760</v>
      </c>
    </row>
    <row r="1088" spans="1:4" x14ac:dyDescent="0.45">
      <c r="A1088" s="1" t="s">
        <v>43</v>
      </c>
      <c r="B1088">
        <v>2.1518600000000001</v>
      </c>
      <c r="C1088">
        <v>346275512</v>
      </c>
      <c r="D1088">
        <v>507548771</v>
      </c>
    </row>
    <row r="1089" spans="1:4" x14ac:dyDescent="0.45">
      <c r="A1089" s="1" t="s">
        <v>44</v>
      </c>
      <c r="B1089">
        <v>6.9758069999999996</v>
      </c>
      <c r="C1089">
        <v>1066247304</v>
      </c>
      <c r="D1089">
        <v>2644417538</v>
      </c>
    </row>
    <row r="1090" spans="1:4" x14ac:dyDescent="0.45">
      <c r="A1090" s="1" t="s">
        <v>45</v>
      </c>
      <c r="B1090">
        <v>2.1297130000000002</v>
      </c>
      <c r="C1090">
        <v>344029226</v>
      </c>
      <c r="D1090">
        <v>513535927</v>
      </c>
    </row>
    <row r="1091" spans="1:4" x14ac:dyDescent="0.45">
      <c r="A1091" s="1" t="s">
        <v>46</v>
      </c>
      <c r="B1091">
        <v>39.285279000000003</v>
      </c>
      <c r="C1091">
        <v>6090421111</v>
      </c>
      <c r="D1091">
        <v>17710798973</v>
      </c>
    </row>
    <row r="1092" spans="1:4" x14ac:dyDescent="0.45">
      <c r="A1092" s="1" t="s">
        <v>47</v>
      </c>
      <c r="B1092">
        <v>22.190546000000001</v>
      </c>
      <c r="C1092">
        <v>3455247442</v>
      </c>
      <c r="D1092">
        <v>9864936921</v>
      </c>
    </row>
    <row r="1093" spans="1:4" x14ac:dyDescent="0.45">
      <c r="A1093" s="1" t="s">
        <v>48</v>
      </c>
      <c r="B1093">
        <v>26.656654</v>
      </c>
      <c r="C1093">
        <v>4171720774</v>
      </c>
      <c r="D1093">
        <v>11887321556</v>
      </c>
    </row>
    <row r="1094" spans="1:4" x14ac:dyDescent="0.45">
      <c r="A1094" s="1" t="s">
        <v>49</v>
      </c>
      <c r="B1094">
        <v>2.0362650000000002</v>
      </c>
      <c r="C1094">
        <v>341116912</v>
      </c>
      <c r="D1094">
        <v>508942719</v>
      </c>
    </row>
    <row r="1095" spans="1:4" x14ac:dyDescent="0.45">
      <c r="A1095" s="1" t="s">
        <v>50</v>
      </c>
      <c r="B1095">
        <v>2.279731</v>
      </c>
      <c r="C1095">
        <v>376845076</v>
      </c>
      <c r="D1095">
        <v>603764128</v>
      </c>
    </row>
    <row r="1096" spans="1:4" x14ac:dyDescent="0.45">
      <c r="A1096" s="1" t="s">
        <v>51</v>
      </c>
      <c r="B1096">
        <v>4.5447290000000002</v>
      </c>
      <c r="C1096">
        <v>750824942</v>
      </c>
      <c r="D1096">
        <v>1632268696</v>
      </c>
    </row>
    <row r="1097" spans="1:4" x14ac:dyDescent="0.45">
      <c r="A1097" s="1" t="s">
        <v>52</v>
      </c>
      <c r="B1097">
        <v>2.839178</v>
      </c>
      <c r="C1097">
        <v>470666617</v>
      </c>
      <c r="D1097">
        <v>852226537</v>
      </c>
    </row>
    <row r="1098" spans="1:4" x14ac:dyDescent="0.45">
      <c r="A1098" s="1" t="s">
        <v>53</v>
      </c>
      <c r="B1098">
        <v>4.9435529999999996</v>
      </c>
      <c r="C1098">
        <v>789591610</v>
      </c>
      <c r="D1098">
        <v>1831104485</v>
      </c>
    </row>
    <row r="1099" spans="1:4" x14ac:dyDescent="0.45">
      <c r="A1099" s="1" t="s">
        <v>54</v>
      </c>
      <c r="B1099">
        <v>2.053023</v>
      </c>
      <c r="C1099">
        <v>347101827</v>
      </c>
      <c r="D1099">
        <v>511934722</v>
      </c>
    </row>
    <row r="1100" spans="1:4" x14ac:dyDescent="0.45">
      <c r="A1100" s="1" t="s">
        <v>55</v>
      </c>
      <c r="B1100">
        <v>16.288405000000001</v>
      </c>
      <c r="C1100">
        <v>2541285902</v>
      </c>
      <c r="D1100">
        <v>7082819845</v>
      </c>
    </row>
    <row r="1101" spans="1:4" x14ac:dyDescent="0.45">
      <c r="A1101" s="1" t="s">
        <v>56</v>
      </c>
      <c r="B1101">
        <v>21.775789</v>
      </c>
      <c r="C1101">
        <v>3391834320</v>
      </c>
      <c r="D1101">
        <v>9629827427</v>
      </c>
    </row>
    <row r="1102" spans="1:4" x14ac:dyDescent="0.45">
      <c r="A1102" s="1" t="s">
        <v>66</v>
      </c>
      <c r="B1102">
        <f>AVERAGE(B1052:B1101)</f>
        <v>12.6912488</v>
      </c>
      <c r="C1102">
        <f>AVERAGE(C1052:C1101)</f>
        <v>1983712974.4400001</v>
      </c>
      <c r="D1102">
        <f>AVERAGE(D1052:D1101)</f>
        <v>5416572998.1999998</v>
      </c>
    </row>
    <row r="1103" spans="1:4" x14ac:dyDescent="0.45">
      <c r="A1103" s="1" t="s">
        <v>67</v>
      </c>
      <c r="B1103">
        <f>_xlfn.VAR.S(B1052:B1101)</f>
        <v>153.59646233301379</v>
      </c>
      <c r="C1103">
        <f>_xlfn.VAR.S(C1052:C1101)</f>
        <v>3.6522256925183529E+18</v>
      </c>
      <c r="D1103">
        <f>_xlfn.VAR.S(D1052:D1101)</f>
        <v>3.2887267545086648E+19</v>
      </c>
    </row>
    <row r="1104" spans="1:4" x14ac:dyDescent="0.45">
      <c r="A1104" s="1" t="s">
        <v>68</v>
      </c>
      <c r="B1104">
        <f>MAX(B1052:B1101)</f>
        <v>42.047719000000001</v>
      </c>
      <c r="C1104">
        <f>MAX(C1052:C1101)</f>
        <v>6472354198</v>
      </c>
      <c r="D1104">
        <f>MAX(D1052:D1101)</f>
        <v>18911003425</v>
      </c>
    </row>
    <row r="1105" spans="1:4" x14ac:dyDescent="0.45">
      <c r="A1105" s="1" t="s">
        <v>64</v>
      </c>
    </row>
    <row r="1106" spans="1:4" x14ac:dyDescent="0.45">
      <c r="A1106" s="1" t="s">
        <v>4</v>
      </c>
    </row>
    <row r="1107" spans="1:4" x14ac:dyDescent="0.45">
      <c r="A1107" s="1" t="s">
        <v>4</v>
      </c>
    </row>
    <row r="1108" spans="1:4" x14ac:dyDescent="0.45">
      <c r="A1108" s="1" t="s">
        <v>4</v>
      </c>
    </row>
    <row r="1109" spans="1:4" x14ac:dyDescent="0.45">
      <c r="A1109" s="1" t="s">
        <v>6</v>
      </c>
    </row>
    <row r="1110" spans="1:4" x14ac:dyDescent="0.45">
      <c r="A1110" s="1" t="s">
        <v>7</v>
      </c>
      <c r="B1110">
        <v>1.217E-3</v>
      </c>
      <c r="C1110">
        <v>254781</v>
      </c>
      <c r="D1110">
        <v>237311</v>
      </c>
    </row>
    <row r="1111" spans="1:4" x14ac:dyDescent="0.45">
      <c r="A1111" s="1" t="s">
        <v>8</v>
      </c>
      <c r="B1111">
        <v>1.204E-3</v>
      </c>
      <c r="C1111">
        <v>224772</v>
      </c>
      <c r="D1111">
        <v>250323</v>
      </c>
    </row>
    <row r="1112" spans="1:4" x14ac:dyDescent="0.45">
      <c r="A1112" s="1" t="s">
        <v>9</v>
      </c>
      <c r="B1112">
        <v>1.1659999999999999E-3</v>
      </c>
      <c r="C1112">
        <v>231222</v>
      </c>
      <c r="D1112">
        <v>231300</v>
      </c>
    </row>
    <row r="1113" spans="1:4" x14ac:dyDescent="0.45">
      <c r="A1113" s="1" t="s">
        <v>10</v>
      </c>
      <c r="B1113">
        <v>1.196E-3</v>
      </c>
      <c r="C1113">
        <v>233499</v>
      </c>
      <c r="D1113">
        <v>239215</v>
      </c>
    </row>
    <row r="1114" spans="1:4" x14ac:dyDescent="0.45">
      <c r="A1114" s="1" t="s">
        <v>11</v>
      </c>
      <c r="B1114">
        <v>1.2149999999999999E-3</v>
      </c>
      <c r="C1114">
        <v>247557</v>
      </c>
      <c r="D1114">
        <v>239406</v>
      </c>
    </row>
    <row r="1115" spans="1:4" x14ac:dyDescent="0.45">
      <c r="A1115" s="1" t="s">
        <v>12</v>
      </c>
      <c r="B1115">
        <v>1.222E-3</v>
      </c>
      <c r="C1115">
        <v>239769</v>
      </c>
      <c r="D1115">
        <v>246285</v>
      </c>
    </row>
    <row r="1116" spans="1:4" x14ac:dyDescent="0.45">
      <c r="A1116" s="1" t="s">
        <v>13</v>
      </c>
      <c r="B1116">
        <v>1.217E-3</v>
      </c>
      <c r="C1116">
        <v>248166</v>
      </c>
      <c r="D1116">
        <v>239545</v>
      </c>
    </row>
    <row r="1117" spans="1:4" x14ac:dyDescent="0.45">
      <c r="A1117" s="1" t="s">
        <v>14</v>
      </c>
      <c r="B1117">
        <v>1.2520000000000001E-3</v>
      </c>
      <c r="C1117">
        <v>257925</v>
      </c>
      <c r="D1117">
        <v>239510</v>
      </c>
    </row>
    <row r="1118" spans="1:4" x14ac:dyDescent="0.45">
      <c r="A1118" s="1" t="s">
        <v>15</v>
      </c>
      <c r="B1118">
        <v>1.258E-3</v>
      </c>
      <c r="C1118">
        <v>247158</v>
      </c>
      <c r="D1118">
        <v>233464</v>
      </c>
    </row>
    <row r="1119" spans="1:4" x14ac:dyDescent="0.45">
      <c r="A1119" s="1" t="s">
        <v>16</v>
      </c>
      <c r="B1119">
        <v>1.1609999999999999E-3</v>
      </c>
      <c r="C1119">
        <v>228831</v>
      </c>
      <c r="D1119">
        <v>242816</v>
      </c>
    </row>
    <row r="1120" spans="1:4" x14ac:dyDescent="0.45">
      <c r="A1120" s="1" t="s">
        <v>17</v>
      </c>
      <c r="B1120">
        <v>1.1770000000000001E-3</v>
      </c>
      <c r="C1120">
        <v>232614</v>
      </c>
      <c r="D1120">
        <v>232022</v>
      </c>
    </row>
    <row r="1121" spans="1:4" x14ac:dyDescent="0.45">
      <c r="A1121" s="1" t="s">
        <v>18</v>
      </c>
      <c r="B1121">
        <v>1.25E-3</v>
      </c>
      <c r="C1121">
        <v>232338</v>
      </c>
      <c r="D1121">
        <v>246894</v>
      </c>
    </row>
    <row r="1122" spans="1:4" x14ac:dyDescent="0.45">
      <c r="A1122" s="1" t="s">
        <v>19</v>
      </c>
      <c r="B1122">
        <v>1.565E-3</v>
      </c>
      <c r="C1122">
        <v>226077</v>
      </c>
      <c r="D1122">
        <v>246919</v>
      </c>
    </row>
    <row r="1123" spans="1:4" x14ac:dyDescent="0.45">
      <c r="A1123" s="1" t="s">
        <v>20</v>
      </c>
      <c r="B1123">
        <v>1.271E-3</v>
      </c>
      <c r="C1123">
        <v>232338</v>
      </c>
      <c r="D1123">
        <v>240443</v>
      </c>
    </row>
    <row r="1124" spans="1:4" x14ac:dyDescent="0.45">
      <c r="A1124" s="1" t="s">
        <v>21</v>
      </c>
      <c r="B1124">
        <v>1.232E-3</v>
      </c>
      <c r="C1124">
        <v>229722</v>
      </c>
      <c r="D1124">
        <v>236089</v>
      </c>
    </row>
    <row r="1125" spans="1:4" x14ac:dyDescent="0.45">
      <c r="A1125" s="1" t="s">
        <v>22</v>
      </c>
      <c r="B1125">
        <v>1.1720000000000001E-3</v>
      </c>
      <c r="C1125">
        <v>230751</v>
      </c>
      <c r="D1125">
        <v>238116</v>
      </c>
    </row>
    <row r="1126" spans="1:4" x14ac:dyDescent="0.45">
      <c r="A1126" s="1" t="s">
        <v>23</v>
      </c>
      <c r="B1126">
        <v>1.1820000000000001E-3</v>
      </c>
      <c r="C1126">
        <v>239613</v>
      </c>
      <c r="D1126">
        <v>238056</v>
      </c>
    </row>
    <row r="1127" spans="1:4" x14ac:dyDescent="0.45">
      <c r="A1127" s="1" t="s">
        <v>24</v>
      </c>
      <c r="B1127">
        <v>1.194E-3</v>
      </c>
      <c r="C1127">
        <v>241800</v>
      </c>
      <c r="D1127">
        <v>236009</v>
      </c>
    </row>
    <row r="1128" spans="1:4" x14ac:dyDescent="0.45">
      <c r="A1128" s="1" t="s">
        <v>25</v>
      </c>
      <c r="B1128">
        <v>1.219E-3</v>
      </c>
      <c r="C1128">
        <v>251952</v>
      </c>
      <c r="D1128">
        <v>246133</v>
      </c>
    </row>
    <row r="1129" spans="1:4" x14ac:dyDescent="0.45">
      <c r="A1129" s="1" t="s">
        <v>26</v>
      </c>
      <c r="B1129">
        <v>1.2290000000000001E-3</v>
      </c>
      <c r="C1129">
        <v>250620</v>
      </c>
      <c r="D1129">
        <v>250868</v>
      </c>
    </row>
    <row r="1130" spans="1:4" x14ac:dyDescent="0.45">
      <c r="A1130" s="1" t="s">
        <v>27</v>
      </c>
      <c r="B1130">
        <v>1.3190000000000001E-3</v>
      </c>
      <c r="C1130">
        <v>270558</v>
      </c>
      <c r="D1130">
        <v>248754</v>
      </c>
    </row>
    <row r="1131" spans="1:4" x14ac:dyDescent="0.45">
      <c r="A1131" s="1" t="s">
        <v>28</v>
      </c>
      <c r="B1131">
        <v>1.253E-3</v>
      </c>
      <c r="C1131">
        <v>245334</v>
      </c>
      <c r="D1131">
        <v>235032</v>
      </c>
    </row>
    <row r="1132" spans="1:4" x14ac:dyDescent="0.45">
      <c r="A1132" s="1" t="s">
        <v>29</v>
      </c>
      <c r="B1132">
        <v>1.3010000000000001E-3</v>
      </c>
      <c r="C1132">
        <v>231024</v>
      </c>
      <c r="D1132">
        <v>245599</v>
      </c>
    </row>
    <row r="1133" spans="1:4" x14ac:dyDescent="0.45">
      <c r="A1133" s="1" t="s">
        <v>30</v>
      </c>
      <c r="B1133">
        <v>1.222E-3</v>
      </c>
      <c r="C1133">
        <v>248160</v>
      </c>
      <c r="D1133">
        <v>244555</v>
      </c>
    </row>
    <row r="1134" spans="1:4" x14ac:dyDescent="0.45">
      <c r="A1134" s="1" t="s">
        <v>31</v>
      </c>
      <c r="B1134">
        <v>1.2030000000000001E-3</v>
      </c>
      <c r="C1134">
        <v>243846</v>
      </c>
      <c r="D1134">
        <v>247249</v>
      </c>
    </row>
    <row r="1135" spans="1:4" x14ac:dyDescent="0.45">
      <c r="A1135" s="1" t="s">
        <v>32</v>
      </c>
      <c r="B1135">
        <v>1.204E-3</v>
      </c>
      <c r="C1135">
        <v>238956</v>
      </c>
      <c r="D1135">
        <v>240158</v>
      </c>
    </row>
    <row r="1136" spans="1:4" x14ac:dyDescent="0.45">
      <c r="A1136" s="1" t="s">
        <v>33</v>
      </c>
      <c r="B1136">
        <v>1.2440000000000001E-3</v>
      </c>
      <c r="C1136">
        <v>258276</v>
      </c>
      <c r="D1136">
        <v>241177</v>
      </c>
    </row>
    <row r="1137" spans="1:4" x14ac:dyDescent="0.45">
      <c r="A1137" s="1" t="s">
        <v>34</v>
      </c>
      <c r="B1137">
        <v>1.24E-3</v>
      </c>
      <c r="C1137">
        <v>245649</v>
      </c>
      <c r="D1137">
        <v>248246</v>
      </c>
    </row>
    <row r="1138" spans="1:4" x14ac:dyDescent="0.45">
      <c r="A1138" s="1" t="s">
        <v>35</v>
      </c>
      <c r="B1138">
        <v>1.1950000000000001E-3</v>
      </c>
      <c r="C1138">
        <v>244866</v>
      </c>
      <c r="D1138">
        <v>242432</v>
      </c>
    </row>
    <row r="1139" spans="1:4" x14ac:dyDescent="0.45">
      <c r="A1139" s="1" t="s">
        <v>36</v>
      </c>
      <c r="B1139">
        <v>1.193E-3</v>
      </c>
      <c r="C1139">
        <v>238173</v>
      </c>
      <c r="D1139">
        <v>241019</v>
      </c>
    </row>
    <row r="1140" spans="1:4" x14ac:dyDescent="0.45">
      <c r="A1140" s="1" t="s">
        <v>37</v>
      </c>
      <c r="B1140">
        <v>1.1850000000000001E-3</v>
      </c>
      <c r="C1140">
        <v>229890</v>
      </c>
      <c r="D1140">
        <v>229884</v>
      </c>
    </row>
    <row r="1141" spans="1:4" x14ac:dyDescent="0.45">
      <c r="A1141" s="1" t="s">
        <v>38</v>
      </c>
      <c r="B1141">
        <v>1.238E-3</v>
      </c>
      <c r="C1141">
        <v>240495</v>
      </c>
      <c r="D1141">
        <v>238386</v>
      </c>
    </row>
    <row r="1142" spans="1:4" x14ac:dyDescent="0.45">
      <c r="A1142" s="1" t="s">
        <v>39</v>
      </c>
      <c r="B1142">
        <v>1.217E-3</v>
      </c>
      <c r="C1142">
        <v>242496</v>
      </c>
      <c r="D1142">
        <v>234765</v>
      </c>
    </row>
    <row r="1143" spans="1:4" x14ac:dyDescent="0.45">
      <c r="A1143" s="1" t="s">
        <v>40</v>
      </c>
      <c r="B1143">
        <v>1.2669999999999999E-3</v>
      </c>
      <c r="C1143">
        <v>254886</v>
      </c>
      <c r="D1143">
        <v>245423</v>
      </c>
    </row>
    <row r="1144" spans="1:4" x14ac:dyDescent="0.45">
      <c r="A1144" s="1" t="s">
        <v>41</v>
      </c>
      <c r="B1144">
        <v>1.2520000000000001E-3</v>
      </c>
      <c r="C1144">
        <v>232860</v>
      </c>
      <c r="D1144">
        <v>245098</v>
      </c>
    </row>
    <row r="1145" spans="1:4" x14ac:dyDescent="0.45">
      <c r="A1145" s="1" t="s">
        <v>42</v>
      </c>
      <c r="B1145">
        <v>1.237E-3</v>
      </c>
      <c r="C1145">
        <v>246645</v>
      </c>
      <c r="D1145">
        <v>236033</v>
      </c>
    </row>
    <row r="1146" spans="1:4" x14ac:dyDescent="0.45">
      <c r="A1146" s="1" t="s">
        <v>43</v>
      </c>
      <c r="B1146">
        <v>1.1850000000000001E-3</v>
      </c>
      <c r="C1146">
        <v>241155</v>
      </c>
      <c r="D1146">
        <v>231351</v>
      </c>
    </row>
    <row r="1147" spans="1:4" x14ac:dyDescent="0.45">
      <c r="A1147" s="1" t="s">
        <v>44</v>
      </c>
      <c r="B1147">
        <v>1.191E-3</v>
      </c>
      <c r="C1147">
        <v>232053</v>
      </c>
      <c r="D1147">
        <v>244145</v>
      </c>
    </row>
    <row r="1148" spans="1:4" x14ac:dyDescent="0.45">
      <c r="A1148" s="1" t="s">
        <v>45</v>
      </c>
      <c r="B1148">
        <v>1.196E-3</v>
      </c>
      <c r="C1148">
        <v>238569</v>
      </c>
      <c r="D1148">
        <v>238076</v>
      </c>
    </row>
    <row r="1149" spans="1:4" x14ac:dyDescent="0.45">
      <c r="A1149" s="1" t="s">
        <v>46</v>
      </c>
      <c r="B1149">
        <v>1.2030000000000001E-3</v>
      </c>
      <c r="C1149">
        <v>227247</v>
      </c>
      <c r="D1149">
        <v>235169</v>
      </c>
    </row>
    <row r="1150" spans="1:4" x14ac:dyDescent="0.45">
      <c r="A1150" s="1" t="s">
        <v>47</v>
      </c>
      <c r="B1150">
        <v>1.1869999999999999E-3</v>
      </c>
      <c r="C1150">
        <v>230097</v>
      </c>
      <c r="D1150">
        <v>245643</v>
      </c>
    </row>
    <row r="1151" spans="1:4" x14ac:dyDescent="0.45">
      <c r="A1151" s="1" t="s">
        <v>48</v>
      </c>
      <c r="B1151">
        <v>1.2600000000000001E-3</v>
      </c>
      <c r="C1151">
        <v>252513</v>
      </c>
      <c r="D1151">
        <v>241744</v>
      </c>
    </row>
    <row r="1152" spans="1:4" x14ac:dyDescent="0.45">
      <c r="A1152" s="1" t="s">
        <v>49</v>
      </c>
      <c r="B1152">
        <v>1.193E-3</v>
      </c>
      <c r="C1152">
        <v>233559</v>
      </c>
      <c r="D1152">
        <v>235308</v>
      </c>
    </row>
    <row r="1153" spans="1:4" x14ac:dyDescent="0.45">
      <c r="A1153" s="1" t="s">
        <v>50</v>
      </c>
      <c r="B1153">
        <v>1.227E-3</v>
      </c>
      <c r="C1153">
        <v>256956</v>
      </c>
      <c r="D1153">
        <v>237561</v>
      </c>
    </row>
    <row r="1154" spans="1:4" x14ac:dyDescent="0.45">
      <c r="A1154" s="1" t="s">
        <v>51</v>
      </c>
      <c r="B1154">
        <v>1.2260000000000001E-3</v>
      </c>
      <c r="C1154">
        <v>253419</v>
      </c>
      <c r="D1154">
        <v>237368</v>
      </c>
    </row>
    <row r="1155" spans="1:4" x14ac:dyDescent="0.45">
      <c r="A1155" s="1" t="s">
        <v>52</v>
      </c>
      <c r="B1155">
        <v>1.1980000000000001E-3</v>
      </c>
      <c r="C1155">
        <v>245874</v>
      </c>
      <c r="D1155">
        <v>241813</v>
      </c>
    </row>
    <row r="1156" spans="1:4" x14ac:dyDescent="0.45">
      <c r="A1156" s="1" t="s">
        <v>53</v>
      </c>
      <c r="B1156">
        <v>1.358E-3</v>
      </c>
      <c r="C1156">
        <v>242727</v>
      </c>
      <c r="D1156">
        <v>240729</v>
      </c>
    </row>
    <row r="1157" spans="1:4" x14ac:dyDescent="0.45">
      <c r="A1157" s="1" t="s">
        <v>54</v>
      </c>
      <c r="B1157">
        <v>1.271E-3</v>
      </c>
      <c r="C1157">
        <v>233637</v>
      </c>
      <c r="D1157">
        <v>241607</v>
      </c>
    </row>
    <row r="1158" spans="1:4" x14ac:dyDescent="0.45">
      <c r="A1158" s="1" t="s">
        <v>55</v>
      </c>
      <c r="B1158">
        <v>1.2110000000000001E-3</v>
      </c>
      <c r="C1158">
        <v>245100</v>
      </c>
      <c r="D1158">
        <v>253601</v>
      </c>
    </row>
    <row r="1159" spans="1:4" x14ac:dyDescent="0.45">
      <c r="A1159" s="1" t="s">
        <v>56</v>
      </c>
      <c r="B1159">
        <v>1.225E-3</v>
      </c>
      <c r="C1159">
        <v>225174</v>
      </c>
      <c r="D1159">
        <v>238714</v>
      </c>
    </row>
    <row r="1160" spans="1:4" x14ac:dyDescent="0.45">
      <c r="A1160" s="1" t="s">
        <v>66</v>
      </c>
      <c r="B1160">
        <f>AVERAGE(B1110:B1159)</f>
        <v>1.23E-3</v>
      </c>
      <c r="C1160">
        <f>AVERAGE(C1110:C1159)</f>
        <v>241033.98</v>
      </c>
      <c r="D1160">
        <f>AVERAGE(D1110:D1159)</f>
        <v>240747.26</v>
      </c>
    </row>
    <row r="1161" spans="1:4" x14ac:dyDescent="0.45">
      <c r="A1161" s="1" t="s">
        <v>67</v>
      </c>
      <c r="B1161">
        <f>_xlfn.VAR.S(B1110:B1159)</f>
        <v>3.8336326530612244E-9</v>
      </c>
      <c r="C1161">
        <f>_xlfn.VAR.S(C1110:C1159)</f>
        <v>106492864.63224493</v>
      </c>
      <c r="D1161">
        <f>_xlfn.VAR.S(D1110:D1159)</f>
        <v>30087711.175918374</v>
      </c>
    </row>
    <row r="1162" spans="1:4" x14ac:dyDescent="0.45">
      <c r="A1162" s="1" t="s">
        <v>68</v>
      </c>
      <c r="B1162">
        <f>MAX(B1110:B1159)</f>
        <v>1.565E-3</v>
      </c>
      <c r="C1162">
        <f>MAX(C1110:C1159)</f>
        <v>270558</v>
      </c>
      <c r="D1162">
        <f>MAX(D1110:D1159)</f>
        <v>253601</v>
      </c>
    </row>
    <row r="1163" spans="1:4" x14ac:dyDescent="0.45">
      <c r="A1163" s="1" t="s">
        <v>57</v>
      </c>
    </row>
    <row r="1164" spans="1:4" x14ac:dyDescent="0.45">
      <c r="A1164" s="1" t="s">
        <v>7</v>
      </c>
      <c r="B1164">
        <v>1.5007E-2</v>
      </c>
      <c r="C1164">
        <v>2873058</v>
      </c>
      <c r="D1164">
        <v>2938479</v>
      </c>
    </row>
    <row r="1165" spans="1:4" x14ac:dyDescent="0.45">
      <c r="A1165" s="1" t="s">
        <v>8</v>
      </c>
      <c r="B1165">
        <v>1.4539E-2</v>
      </c>
      <c r="C1165">
        <v>2755287</v>
      </c>
      <c r="D1165">
        <v>3035224</v>
      </c>
    </row>
    <row r="1166" spans="1:4" x14ac:dyDescent="0.45">
      <c r="A1166" s="1" t="s">
        <v>9</v>
      </c>
      <c r="B1166">
        <v>1.4821000000000001E-2</v>
      </c>
      <c r="C1166">
        <v>2876121</v>
      </c>
      <c r="D1166">
        <v>3040710</v>
      </c>
    </row>
    <row r="1167" spans="1:4" x14ac:dyDescent="0.45">
      <c r="A1167" s="1" t="s">
        <v>10</v>
      </c>
      <c r="B1167">
        <v>1.5386E-2</v>
      </c>
      <c r="C1167">
        <v>2811690</v>
      </c>
      <c r="D1167">
        <v>2986904</v>
      </c>
    </row>
    <row r="1168" spans="1:4" x14ac:dyDescent="0.45">
      <c r="A1168" s="1" t="s">
        <v>11</v>
      </c>
      <c r="B1168">
        <v>1.4599000000000001E-2</v>
      </c>
      <c r="C1168">
        <v>2825904</v>
      </c>
      <c r="D1168">
        <v>2995860</v>
      </c>
    </row>
    <row r="1169" spans="1:4" x14ac:dyDescent="0.45">
      <c r="A1169" s="1" t="s">
        <v>12</v>
      </c>
      <c r="B1169">
        <v>1.4683999999999999E-2</v>
      </c>
      <c r="C1169">
        <v>2817696</v>
      </c>
      <c r="D1169">
        <v>3006535</v>
      </c>
    </row>
    <row r="1170" spans="1:4" x14ac:dyDescent="0.45">
      <c r="A1170" s="1" t="s">
        <v>13</v>
      </c>
      <c r="B1170">
        <v>1.4557E-2</v>
      </c>
      <c r="C1170">
        <v>2846466</v>
      </c>
      <c r="D1170">
        <v>3042768</v>
      </c>
    </row>
    <row r="1171" spans="1:4" x14ac:dyDescent="0.45">
      <c r="A1171" s="1" t="s">
        <v>14</v>
      </c>
      <c r="B1171">
        <v>1.499E-2</v>
      </c>
      <c r="C1171">
        <v>3025440</v>
      </c>
      <c r="D1171">
        <v>3083974</v>
      </c>
    </row>
    <row r="1172" spans="1:4" x14ac:dyDescent="0.45">
      <c r="A1172" s="1" t="s">
        <v>15</v>
      </c>
      <c r="B1172">
        <v>1.4832E-2</v>
      </c>
      <c r="C1172">
        <v>2928153</v>
      </c>
      <c r="D1172">
        <v>2959535</v>
      </c>
    </row>
    <row r="1173" spans="1:4" x14ac:dyDescent="0.45">
      <c r="A1173" s="1" t="s">
        <v>16</v>
      </c>
      <c r="B1173">
        <v>1.4624E-2</v>
      </c>
      <c r="C1173">
        <v>2804232</v>
      </c>
      <c r="D1173">
        <v>2965441</v>
      </c>
    </row>
    <row r="1174" spans="1:4" x14ac:dyDescent="0.45">
      <c r="A1174" s="1" t="s">
        <v>17</v>
      </c>
      <c r="B1174">
        <v>1.5181999999999999E-2</v>
      </c>
      <c r="C1174">
        <v>2826681</v>
      </c>
      <c r="D1174">
        <v>3108934</v>
      </c>
    </row>
    <row r="1175" spans="1:4" x14ac:dyDescent="0.45">
      <c r="A1175" s="1" t="s">
        <v>18</v>
      </c>
      <c r="B1175">
        <v>1.4481000000000001E-2</v>
      </c>
      <c r="C1175">
        <v>2791767</v>
      </c>
      <c r="D1175">
        <v>2992136</v>
      </c>
    </row>
    <row r="1176" spans="1:4" x14ac:dyDescent="0.45">
      <c r="A1176" s="1" t="s">
        <v>19</v>
      </c>
      <c r="B1176">
        <v>1.4801999999999999E-2</v>
      </c>
      <c r="C1176">
        <v>2815260</v>
      </c>
      <c r="D1176">
        <v>3033709</v>
      </c>
    </row>
    <row r="1177" spans="1:4" x14ac:dyDescent="0.45">
      <c r="A1177" s="1" t="s">
        <v>20</v>
      </c>
      <c r="B1177">
        <v>1.4737999999999999E-2</v>
      </c>
      <c r="C1177">
        <v>2732385</v>
      </c>
      <c r="D1177">
        <v>3029287</v>
      </c>
    </row>
    <row r="1178" spans="1:4" x14ac:dyDescent="0.45">
      <c r="A1178" s="1" t="s">
        <v>21</v>
      </c>
      <c r="B1178">
        <v>1.4395E-2</v>
      </c>
      <c r="C1178">
        <v>2731713</v>
      </c>
      <c r="D1178">
        <v>3006512</v>
      </c>
    </row>
    <row r="1179" spans="1:4" x14ac:dyDescent="0.45">
      <c r="A1179" s="1" t="s">
        <v>22</v>
      </c>
      <c r="B1179">
        <v>1.4874E-2</v>
      </c>
      <c r="C1179">
        <v>2865639</v>
      </c>
      <c r="D1179">
        <v>2905183</v>
      </c>
    </row>
    <row r="1180" spans="1:4" x14ac:dyDescent="0.45">
      <c r="A1180" s="1" t="s">
        <v>23</v>
      </c>
      <c r="B1180">
        <v>1.5056E-2</v>
      </c>
      <c r="C1180">
        <v>2880717</v>
      </c>
      <c r="D1180">
        <v>3002961</v>
      </c>
    </row>
    <row r="1181" spans="1:4" x14ac:dyDescent="0.45">
      <c r="A1181" s="1" t="s">
        <v>24</v>
      </c>
      <c r="B1181">
        <v>1.5240999999999999E-2</v>
      </c>
      <c r="C1181">
        <v>2998071</v>
      </c>
      <c r="D1181">
        <v>3017405</v>
      </c>
    </row>
    <row r="1182" spans="1:4" x14ac:dyDescent="0.45">
      <c r="A1182" s="1" t="s">
        <v>25</v>
      </c>
      <c r="B1182">
        <v>1.4553E-2</v>
      </c>
      <c r="C1182">
        <v>2729649</v>
      </c>
      <c r="D1182">
        <v>2989630</v>
      </c>
    </row>
    <row r="1183" spans="1:4" x14ac:dyDescent="0.45">
      <c r="A1183" s="1" t="s">
        <v>26</v>
      </c>
      <c r="B1183">
        <v>1.4553E-2</v>
      </c>
      <c r="C1183">
        <v>2766318</v>
      </c>
      <c r="D1183">
        <v>3020825</v>
      </c>
    </row>
    <row r="1184" spans="1:4" x14ac:dyDescent="0.45">
      <c r="A1184" s="1" t="s">
        <v>27</v>
      </c>
      <c r="B1184">
        <v>1.4461999999999999E-2</v>
      </c>
      <c r="C1184">
        <v>2808843</v>
      </c>
      <c r="D1184">
        <v>2907569</v>
      </c>
    </row>
    <row r="1185" spans="1:4" x14ac:dyDescent="0.45">
      <c r="A1185" s="1" t="s">
        <v>28</v>
      </c>
      <c r="B1185">
        <v>1.4846E-2</v>
      </c>
      <c r="C1185">
        <v>2858970</v>
      </c>
      <c r="D1185">
        <v>3016148</v>
      </c>
    </row>
    <row r="1186" spans="1:4" x14ac:dyDescent="0.45">
      <c r="A1186" s="1" t="s">
        <v>29</v>
      </c>
      <c r="B1186">
        <v>1.5476E-2</v>
      </c>
      <c r="C1186">
        <v>2923602</v>
      </c>
      <c r="D1186">
        <v>3056484</v>
      </c>
    </row>
    <row r="1187" spans="1:4" x14ac:dyDescent="0.45">
      <c r="A1187" s="1" t="s">
        <v>30</v>
      </c>
      <c r="B1187">
        <v>1.5272000000000001E-2</v>
      </c>
      <c r="C1187">
        <v>2924745</v>
      </c>
      <c r="D1187">
        <v>3024466</v>
      </c>
    </row>
    <row r="1188" spans="1:4" x14ac:dyDescent="0.45">
      <c r="A1188" s="1" t="s">
        <v>31</v>
      </c>
      <c r="B1188">
        <v>1.443E-2</v>
      </c>
      <c r="C1188">
        <v>2703363</v>
      </c>
      <c r="D1188">
        <v>3054107</v>
      </c>
    </row>
    <row r="1189" spans="1:4" x14ac:dyDescent="0.45">
      <c r="A1189" s="1" t="s">
        <v>32</v>
      </c>
      <c r="B1189">
        <v>1.4622E-2</v>
      </c>
      <c r="C1189">
        <v>2810235</v>
      </c>
      <c r="D1189">
        <v>2988558</v>
      </c>
    </row>
    <row r="1190" spans="1:4" x14ac:dyDescent="0.45">
      <c r="A1190" s="1" t="s">
        <v>33</v>
      </c>
      <c r="B1190">
        <v>1.4815999999999999E-2</v>
      </c>
      <c r="C1190">
        <v>2857488</v>
      </c>
      <c r="D1190">
        <v>2984496</v>
      </c>
    </row>
    <row r="1191" spans="1:4" x14ac:dyDescent="0.45">
      <c r="A1191" s="1" t="s">
        <v>34</v>
      </c>
      <c r="B1191">
        <v>1.4635E-2</v>
      </c>
      <c r="C1191">
        <v>2790891</v>
      </c>
      <c r="D1191">
        <v>2951290</v>
      </c>
    </row>
    <row r="1192" spans="1:4" x14ac:dyDescent="0.45">
      <c r="A1192" s="1" t="s">
        <v>35</v>
      </c>
      <c r="B1192">
        <v>1.5204000000000001E-2</v>
      </c>
      <c r="C1192">
        <v>2876121</v>
      </c>
      <c r="D1192">
        <v>3039281</v>
      </c>
    </row>
    <row r="1193" spans="1:4" x14ac:dyDescent="0.45">
      <c r="A1193" s="1" t="s">
        <v>36</v>
      </c>
      <c r="B1193">
        <v>1.5348000000000001E-2</v>
      </c>
      <c r="C1193">
        <v>2821731</v>
      </c>
      <c r="D1193">
        <v>2941464</v>
      </c>
    </row>
    <row r="1194" spans="1:4" x14ac:dyDescent="0.45">
      <c r="A1194" s="1" t="s">
        <v>37</v>
      </c>
      <c r="B1194">
        <v>1.5221E-2</v>
      </c>
      <c r="C1194">
        <v>2921361</v>
      </c>
      <c r="D1194">
        <v>2998792</v>
      </c>
    </row>
    <row r="1195" spans="1:4" x14ac:dyDescent="0.45">
      <c r="A1195" s="1" t="s">
        <v>38</v>
      </c>
      <c r="B1195">
        <v>1.4644000000000001E-2</v>
      </c>
      <c r="C1195">
        <v>2792919</v>
      </c>
      <c r="D1195">
        <v>2983897</v>
      </c>
    </row>
    <row r="1196" spans="1:4" x14ac:dyDescent="0.45">
      <c r="A1196" s="1" t="s">
        <v>39</v>
      </c>
      <c r="B1196">
        <v>1.4879E-2</v>
      </c>
      <c r="C1196">
        <v>2840118</v>
      </c>
      <c r="D1196">
        <v>2966489</v>
      </c>
    </row>
    <row r="1197" spans="1:4" x14ac:dyDescent="0.45">
      <c r="A1197" s="1" t="s">
        <v>40</v>
      </c>
      <c r="B1197">
        <v>1.5789999999999998E-2</v>
      </c>
      <c r="C1197">
        <v>2882535</v>
      </c>
      <c r="D1197">
        <v>3040900</v>
      </c>
    </row>
    <row r="1198" spans="1:4" x14ac:dyDescent="0.45">
      <c r="A1198" s="1" t="s">
        <v>41</v>
      </c>
      <c r="B1198">
        <v>1.5685000000000001E-2</v>
      </c>
      <c r="C1198">
        <v>2804958</v>
      </c>
      <c r="D1198">
        <v>2966815</v>
      </c>
    </row>
    <row r="1199" spans="1:4" x14ac:dyDescent="0.45">
      <c r="A1199" s="1" t="s">
        <v>42</v>
      </c>
      <c r="B1199">
        <v>1.5448E-2</v>
      </c>
      <c r="C1199">
        <v>2787909</v>
      </c>
      <c r="D1199">
        <v>3060899</v>
      </c>
    </row>
    <row r="1200" spans="1:4" x14ac:dyDescent="0.45">
      <c r="A1200" s="1" t="s">
        <v>43</v>
      </c>
      <c r="B1200">
        <v>1.5264E-2</v>
      </c>
      <c r="C1200">
        <v>2835417</v>
      </c>
      <c r="D1200">
        <v>2945345</v>
      </c>
    </row>
    <row r="1201" spans="1:4" x14ac:dyDescent="0.45">
      <c r="A1201" s="1" t="s">
        <v>44</v>
      </c>
      <c r="B1201">
        <v>1.5128000000000001E-2</v>
      </c>
      <c r="C1201">
        <v>2881767</v>
      </c>
      <c r="D1201">
        <v>3133616</v>
      </c>
    </row>
    <row r="1202" spans="1:4" x14ac:dyDescent="0.45">
      <c r="A1202" s="1" t="s">
        <v>45</v>
      </c>
      <c r="B1202">
        <v>1.5176E-2</v>
      </c>
      <c r="C1202">
        <v>2840559</v>
      </c>
      <c r="D1202">
        <v>2944738</v>
      </c>
    </row>
    <row r="1203" spans="1:4" x14ac:dyDescent="0.45">
      <c r="A1203" s="1" t="s">
        <v>46</v>
      </c>
      <c r="B1203">
        <v>1.536E-2</v>
      </c>
      <c r="C1203">
        <v>2874858</v>
      </c>
      <c r="D1203">
        <v>3014484</v>
      </c>
    </row>
    <row r="1204" spans="1:4" x14ac:dyDescent="0.45">
      <c r="A1204" s="1" t="s">
        <v>47</v>
      </c>
      <c r="B1204">
        <v>1.6050999999999999E-2</v>
      </c>
      <c r="C1204">
        <v>3219873</v>
      </c>
      <c r="D1204">
        <v>3224291</v>
      </c>
    </row>
    <row r="1205" spans="1:4" x14ac:dyDescent="0.45">
      <c r="A1205" s="1" t="s">
        <v>48</v>
      </c>
      <c r="B1205">
        <v>1.5203E-2</v>
      </c>
      <c r="C1205">
        <v>2805984</v>
      </c>
      <c r="D1205">
        <v>2993038</v>
      </c>
    </row>
    <row r="1206" spans="1:4" x14ac:dyDescent="0.45">
      <c r="A1206" s="1" t="s">
        <v>49</v>
      </c>
      <c r="B1206">
        <v>1.549E-2</v>
      </c>
      <c r="C1206">
        <v>2985939</v>
      </c>
      <c r="D1206">
        <v>3059683</v>
      </c>
    </row>
    <row r="1207" spans="1:4" x14ac:dyDescent="0.45">
      <c r="A1207" s="1" t="s">
        <v>50</v>
      </c>
      <c r="B1207">
        <v>1.5076000000000001E-2</v>
      </c>
      <c r="C1207">
        <v>2801061</v>
      </c>
      <c r="D1207">
        <v>2974379</v>
      </c>
    </row>
    <row r="1208" spans="1:4" x14ac:dyDescent="0.45">
      <c r="A1208" s="1" t="s">
        <v>51</v>
      </c>
      <c r="B1208">
        <v>1.5466000000000001E-2</v>
      </c>
      <c r="C1208">
        <v>3006864</v>
      </c>
      <c r="D1208">
        <v>3052743</v>
      </c>
    </row>
    <row r="1209" spans="1:4" x14ac:dyDescent="0.45">
      <c r="A1209" s="1" t="s">
        <v>52</v>
      </c>
      <c r="B1209">
        <v>1.4997999999999999E-2</v>
      </c>
      <c r="C1209">
        <v>2897247</v>
      </c>
      <c r="D1209">
        <v>2986280</v>
      </c>
    </row>
    <row r="1210" spans="1:4" x14ac:dyDescent="0.45">
      <c r="A1210" s="1" t="s">
        <v>53</v>
      </c>
      <c r="B1210">
        <v>1.546E-2</v>
      </c>
      <c r="C1210">
        <v>2888640</v>
      </c>
      <c r="D1210">
        <v>3000587</v>
      </c>
    </row>
    <row r="1211" spans="1:4" x14ac:dyDescent="0.45">
      <c r="A1211" s="1" t="s">
        <v>54</v>
      </c>
      <c r="B1211">
        <v>1.5145E-2</v>
      </c>
      <c r="C1211">
        <v>2781786</v>
      </c>
      <c r="D1211">
        <v>3046897</v>
      </c>
    </row>
    <row r="1212" spans="1:4" x14ac:dyDescent="0.45">
      <c r="A1212" s="1" t="s">
        <v>55</v>
      </c>
      <c r="B1212">
        <v>1.4959E-2</v>
      </c>
      <c r="C1212">
        <v>2836314</v>
      </c>
      <c r="D1212">
        <v>3068598</v>
      </c>
    </row>
    <row r="1213" spans="1:4" x14ac:dyDescent="0.45">
      <c r="A1213" s="1" t="s">
        <v>56</v>
      </c>
      <c r="B1213">
        <v>1.5382E-2</v>
      </c>
      <c r="C1213">
        <v>2929518</v>
      </c>
      <c r="D1213">
        <v>3017480</v>
      </c>
    </row>
    <row r="1214" spans="1:4" x14ac:dyDescent="0.45">
      <c r="A1214" s="1" t="s">
        <v>66</v>
      </c>
      <c r="B1214">
        <f>AVERAGE(B1164:B1213)</f>
        <v>1.5016999999999996E-2</v>
      </c>
      <c r="C1214">
        <f>AVERAGE(C1164:C1213)</f>
        <v>2853877.26</v>
      </c>
      <c r="D1214">
        <f>AVERAGE(D1164:D1213)</f>
        <v>3012116.52</v>
      </c>
    </row>
    <row r="1215" spans="1:4" x14ac:dyDescent="0.45">
      <c r="A1215" s="1" t="s">
        <v>67</v>
      </c>
      <c r="B1215">
        <f>_xlfn.VAR.S(B1164:B1213)</f>
        <v>1.5081869387755106E-7</v>
      </c>
      <c r="C1215">
        <f>_xlfn.VAR.S(C1164:C1213)</f>
        <v>7885965334.808569</v>
      </c>
      <c r="D1215">
        <f>_xlfn.VAR.S(D1164:D1213)</f>
        <v>3164356911.7240806</v>
      </c>
    </row>
    <row r="1216" spans="1:4" x14ac:dyDescent="0.45">
      <c r="A1216" s="1" t="s">
        <v>68</v>
      </c>
      <c r="B1216">
        <f>MAX(B1164:B1213)</f>
        <v>1.6050999999999999E-2</v>
      </c>
      <c r="C1216">
        <f>MAX(C1164:C1213)</f>
        <v>3219873</v>
      </c>
      <c r="D1216">
        <f>MAX(D1164:D1213)</f>
        <v>3224291</v>
      </c>
    </row>
    <row r="1217" spans="1:4" x14ac:dyDescent="0.45">
      <c r="A1217" s="1" t="s">
        <v>58</v>
      </c>
    </row>
    <row r="1218" spans="1:4" x14ac:dyDescent="0.45">
      <c r="A1218" s="1" t="s">
        <v>7</v>
      </c>
      <c r="B1218">
        <v>0.177755</v>
      </c>
      <c r="C1218">
        <v>31261596</v>
      </c>
      <c r="D1218">
        <v>37210127</v>
      </c>
    </row>
    <row r="1219" spans="1:4" x14ac:dyDescent="0.45">
      <c r="A1219" s="1" t="s">
        <v>8</v>
      </c>
      <c r="B1219">
        <v>0.175649</v>
      </c>
      <c r="C1219">
        <v>31850841</v>
      </c>
      <c r="D1219">
        <v>35674543</v>
      </c>
    </row>
    <row r="1220" spans="1:4" x14ac:dyDescent="0.45">
      <c r="A1220" s="1" t="s">
        <v>9</v>
      </c>
      <c r="B1220">
        <v>0.176063</v>
      </c>
      <c r="C1220">
        <v>32774283</v>
      </c>
      <c r="D1220">
        <v>36313400</v>
      </c>
    </row>
    <row r="1221" spans="1:4" x14ac:dyDescent="0.45">
      <c r="A1221" s="1" t="s">
        <v>10</v>
      </c>
      <c r="B1221">
        <v>0.178286</v>
      </c>
      <c r="C1221">
        <v>34286718</v>
      </c>
      <c r="D1221">
        <v>37230163</v>
      </c>
    </row>
    <row r="1222" spans="1:4" x14ac:dyDescent="0.45">
      <c r="A1222" s="1" t="s">
        <v>11</v>
      </c>
      <c r="B1222">
        <v>0.18133199999999999</v>
      </c>
      <c r="C1222">
        <v>34423560</v>
      </c>
      <c r="D1222">
        <v>36117199</v>
      </c>
    </row>
    <row r="1223" spans="1:4" x14ac:dyDescent="0.45">
      <c r="A1223" s="1" t="s">
        <v>12</v>
      </c>
      <c r="B1223">
        <v>0.180618</v>
      </c>
      <c r="C1223">
        <v>34107702</v>
      </c>
      <c r="D1223">
        <v>37063256</v>
      </c>
    </row>
    <row r="1224" spans="1:4" x14ac:dyDescent="0.45">
      <c r="A1224" s="1" t="s">
        <v>13</v>
      </c>
      <c r="B1224">
        <v>0.17990600000000001</v>
      </c>
      <c r="C1224">
        <v>33611199</v>
      </c>
      <c r="D1224">
        <v>36891831</v>
      </c>
    </row>
    <row r="1225" spans="1:4" x14ac:dyDescent="0.45">
      <c r="A1225" s="1" t="s">
        <v>14</v>
      </c>
      <c r="B1225">
        <v>0.17849799999999999</v>
      </c>
      <c r="C1225">
        <v>32189919</v>
      </c>
      <c r="D1225">
        <v>36265599</v>
      </c>
    </row>
    <row r="1226" spans="1:4" x14ac:dyDescent="0.45">
      <c r="A1226" s="1" t="s">
        <v>15</v>
      </c>
      <c r="B1226">
        <v>0.17552699999999999</v>
      </c>
      <c r="C1226">
        <v>33454023</v>
      </c>
      <c r="D1226">
        <v>36371714</v>
      </c>
    </row>
    <row r="1227" spans="1:4" x14ac:dyDescent="0.45">
      <c r="A1227" s="1" t="s">
        <v>16</v>
      </c>
      <c r="B1227">
        <v>0.17926500000000001</v>
      </c>
      <c r="C1227">
        <v>31592544</v>
      </c>
      <c r="D1227">
        <v>36956743</v>
      </c>
    </row>
    <row r="1228" spans="1:4" x14ac:dyDescent="0.45">
      <c r="A1228" s="1" t="s">
        <v>17</v>
      </c>
      <c r="B1228">
        <v>0.17533899999999999</v>
      </c>
      <c r="C1228">
        <v>33043842</v>
      </c>
      <c r="D1228">
        <v>35881320</v>
      </c>
    </row>
    <row r="1229" spans="1:4" x14ac:dyDescent="0.45">
      <c r="A1229" s="1" t="s">
        <v>18</v>
      </c>
      <c r="B1229">
        <v>0.177453</v>
      </c>
      <c r="C1229">
        <v>33748971</v>
      </c>
      <c r="D1229">
        <v>36460810</v>
      </c>
    </row>
    <row r="1230" spans="1:4" x14ac:dyDescent="0.45">
      <c r="A1230" s="1" t="s">
        <v>19</v>
      </c>
      <c r="B1230">
        <v>0.17816399999999999</v>
      </c>
      <c r="C1230">
        <v>32643333</v>
      </c>
      <c r="D1230">
        <v>36732786</v>
      </c>
    </row>
    <row r="1231" spans="1:4" x14ac:dyDescent="0.45">
      <c r="A1231" s="1" t="s">
        <v>20</v>
      </c>
      <c r="B1231">
        <v>0.17462800000000001</v>
      </c>
      <c r="C1231">
        <v>32425143</v>
      </c>
      <c r="D1231">
        <v>36464555</v>
      </c>
    </row>
    <row r="1232" spans="1:4" x14ac:dyDescent="0.45">
      <c r="A1232" s="1" t="s">
        <v>21</v>
      </c>
      <c r="B1232">
        <v>0.17882000000000001</v>
      </c>
      <c r="C1232">
        <v>32405442</v>
      </c>
      <c r="D1232">
        <v>37451077</v>
      </c>
    </row>
    <row r="1233" spans="1:4" x14ac:dyDescent="0.45">
      <c r="A1233" s="1" t="s">
        <v>22</v>
      </c>
      <c r="B1233">
        <v>0.17727899999999999</v>
      </c>
      <c r="C1233">
        <v>31971333</v>
      </c>
      <c r="D1233">
        <v>36351911</v>
      </c>
    </row>
    <row r="1234" spans="1:4" x14ac:dyDescent="0.45">
      <c r="A1234" s="1" t="s">
        <v>23</v>
      </c>
      <c r="B1234">
        <v>0.17497099999999999</v>
      </c>
      <c r="C1234">
        <v>32237235</v>
      </c>
      <c r="D1234">
        <v>35799581</v>
      </c>
    </row>
    <row r="1235" spans="1:4" x14ac:dyDescent="0.45">
      <c r="A1235" s="1" t="s">
        <v>24</v>
      </c>
      <c r="B1235">
        <v>0.174655</v>
      </c>
      <c r="C1235">
        <v>32171085</v>
      </c>
      <c r="D1235">
        <v>35621800</v>
      </c>
    </row>
    <row r="1236" spans="1:4" x14ac:dyDescent="0.45">
      <c r="A1236" s="1" t="s">
        <v>25</v>
      </c>
      <c r="B1236">
        <v>0.17957699999999999</v>
      </c>
      <c r="C1236">
        <v>33020823</v>
      </c>
      <c r="D1236">
        <v>36203243</v>
      </c>
    </row>
    <row r="1237" spans="1:4" x14ac:dyDescent="0.45">
      <c r="A1237" s="1" t="s">
        <v>26</v>
      </c>
      <c r="B1237">
        <v>0.17627499999999999</v>
      </c>
      <c r="C1237">
        <v>32591664</v>
      </c>
      <c r="D1237">
        <v>37554325</v>
      </c>
    </row>
    <row r="1238" spans="1:4" x14ac:dyDescent="0.45">
      <c r="A1238" s="1" t="s">
        <v>27</v>
      </c>
      <c r="B1238">
        <v>0.180169</v>
      </c>
      <c r="C1238">
        <v>33657456</v>
      </c>
      <c r="D1238">
        <v>36711320</v>
      </c>
    </row>
    <row r="1239" spans="1:4" x14ac:dyDescent="0.45">
      <c r="A1239" s="1" t="s">
        <v>28</v>
      </c>
      <c r="B1239">
        <v>0.176678</v>
      </c>
      <c r="C1239">
        <v>33745692</v>
      </c>
      <c r="D1239">
        <v>37376203</v>
      </c>
    </row>
    <row r="1240" spans="1:4" x14ac:dyDescent="0.45">
      <c r="A1240" s="1" t="s">
        <v>29</v>
      </c>
      <c r="B1240">
        <v>0.17637</v>
      </c>
      <c r="C1240">
        <v>33916986</v>
      </c>
      <c r="D1240">
        <v>36932746</v>
      </c>
    </row>
    <row r="1241" spans="1:4" x14ac:dyDescent="0.45">
      <c r="A1241" s="1" t="s">
        <v>30</v>
      </c>
      <c r="B1241">
        <v>0.17533499999999999</v>
      </c>
      <c r="C1241">
        <v>33340845</v>
      </c>
      <c r="D1241">
        <v>36203675</v>
      </c>
    </row>
    <row r="1242" spans="1:4" x14ac:dyDescent="0.45">
      <c r="A1242" s="1" t="s">
        <v>31</v>
      </c>
      <c r="B1242">
        <v>0.17714299999999999</v>
      </c>
      <c r="C1242">
        <v>31927893</v>
      </c>
      <c r="D1242">
        <v>36986285</v>
      </c>
    </row>
    <row r="1243" spans="1:4" x14ac:dyDescent="0.45">
      <c r="A1243" s="1" t="s">
        <v>32</v>
      </c>
      <c r="B1243">
        <v>0.17916299999999999</v>
      </c>
      <c r="C1243">
        <v>32342961</v>
      </c>
      <c r="D1243">
        <v>36023721</v>
      </c>
    </row>
    <row r="1244" spans="1:4" x14ac:dyDescent="0.45">
      <c r="A1244" s="1" t="s">
        <v>33</v>
      </c>
      <c r="B1244">
        <v>0.17751</v>
      </c>
      <c r="C1244">
        <v>34250823</v>
      </c>
      <c r="D1244">
        <v>36326286</v>
      </c>
    </row>
    <row r="1245" spans="1:4" x14ac:dyDescent="0.45">
      <c r="A1245" s="1" t="s">
        <v>34</v>
      </c>
      <c r="B1245">
        <v>0.17548800000000001</v>
      </c>
      <c r="C1245">
        <v>32235189</v>
      </c>
      <c r="D1245">
        <v>37112307</v>
      </c>
    </row>
    <row r="1246" spans="1:4" x14ac:dyDescent="0.45">
      <c r="A1246" s="1" t="s">
        <v>35</v>
      </c>
      <c r="B1246">
        <v>0.174181</v>
      </c>
      <c r="C1246">
        <v>32183796</v>
      </c>
      <c r="D1246">
        <v>36429501</v>
      </c>
    </row>
    <row r="1247" spans="1:4" x14ac:dyDescent="0.45">
      <c r="A1247" s="1" t="s">
        <v>36</v>
      </c>
      <c r="B1247">
        <v>0.177312</v>
      </c>
      <c r="C1247">
        <v>33171645</v>
      </c>
      <c r="D1247">
        <v>36066370</v>
      </c>
    </row>
    <row r="1248" spans="1:4" x14ac:dyDescent="0.45">
      <c r="A1248" s="1" t="s">
        <v>37</v>
      </c>
      <c r="B1248">
        <v>0.17605699999999999</v>
      </c>
      <c r="C1248">
        <v>32362665</v>
      </c>
      <c r="D1248">
        <v>36282668</v>
      </c>
    </row>
    <row r="1249" spans="1:4" x14ac:dyDescent="0.45">
      <c r="A1249" s="1" t="s">
        <v>38</v>
      </c>
      <c r="B1249">
        <v>0.181005</v>
      </c>
      <c r="C1249">
        <v>32563632</v>
      </c>
      <c r="D1249">
        <v>35930274</v>
      </c>
    </row>
    <row r="1250" spans="1:4" x14ac:dyDescent="0.45">
      <c r="A1250" s="1" t="s">
        <v>39</v>
      </c>
      <c r="B1250">
        <v>0.17591699999999999</v>
      </c>
      <c r="C1250">
        <v>32880126</v>
      </c>
      <c r="D1250">
        <v>36623328</v>
      </c>
    </row>
    <row r="1251" spans="1:4" x14ac:dyDescent="0.45">
      <c r="A1251" s="1" t="s">
        <v>40</v>
      </c>
      <c r="B1251">
        <v>0.173545</v>
      </c>
      <c r="C1251">
        <v>32015475</v>
      </c>
      <c r="D1251">
        <v>36451610</v>
      </c>
    </row>
    <row r="1252" spans="1:4" x14ac:dyDescent="0.45">
      <c r="A1252" s="1" t="s">
        <v>41</v>
      </c>
      <c r="B1252">
        <v>0.17771799999999999</v>
      </c>
      <c r="C1252">
        <v>33128808</v>
      </c>
      <c r="D1252">
        <v>35741461</v>
      </c>
    </row>
    <row r="1253" spans="1:4" x14ac:dyDescent="0.45">
      <c r="A1253" s="1" t="s">
        <v>42</v>
      </c>
      <c r="B1253">
        <v>0.177097</v>
      </c>
      <c r="C1253">
        <v>34371006</v>
      </c>
      <c r="D1253">
        <v>36213454</v>
      </c>
    </row>
    <row r="1254" spans="1:4" x14ac:dyDescent="0.45">
      <c r="A1254" s="1" t="s">
        <v>43</v>
      </c>
      <c r="B1254">
        <v>0.181448</v>
      </c>
      <c r="C1254">
        <v>32770824</v>
      </c>
      <c r="D1254">
        <v>36072723</v>
      </c>
    </row>
    <row r="1255" spans="1:4" x14ac:dyDescent="0.45">
      <c r="A1255" s="1" t="s">
        <v>44</v>
      </c>
      <c r="B1255">
        <v>0.17497499999999999</v>
      </c>
      <c r="C1255">
        <v>32337207</v>
      </c>
      <c r="D1255">
        <v>36834831</v>
      </c>
    </row>
    <row r="1256" spans="1:4" x14ac:dyDescent="0.45">
      <c r="A1256" s="1" t="s">
        <v>45</v>
      </c>
      <c r="B1256">
        <v>0.17615600000000001</v>
      </c>
      <c r="C1256">
        <v>32893626</v>
      </c>
      <c r="D1256">
        <v>36790707</v>
      </c>
    </row>
    <row r="1257" spans="1:4" x14ac:dyDescent="0.45">
      <c r="A1257" s="1" t="s">
        <v>46</v>
      </c>
      <c r="B1257">
        <v>0.18076900000000001</v>
      </c>
      <c r="C1257">
        <v>35181804</v>
      </c>
      <c r="D1257">
        <v>36933969</v>
      </c>
    </row>
    <row r="1258" spans="1:4" x14ac:dyDescent="0.45">
      <c r="A1258" s="1" t="s">
        <v>47</v>
      </c>
      <c r="B1258">
        <v>0.17844499999999999</v>
      </c>
      <c r="C1258">
        <v>33280302</v>
      </c>
      <c r="D1258">
        <v>36546795</v>
      </c>
    </row>
    <row r="1259" spans="1:4" x14ac:dyDescent="0.45">
      <c r="A1259" s="1" t="s">
        <v>48</v>
      </c>
      <c r="B1259">
        <v>0.17795900000000001</v>
      </c>
      <c r="C1259">
        <v>32413914</v>
      </c>
      <c r="D1259">
        <v>38872630</v>
      </c>
    </row>
    <row r="1260" spans="1:4" x14ac:dyDescent="0.45">
      <c r="A1260" s="1" t="s">
        <v>49</v>
      </c>
      <c r="B1260">
        <v>0.179837</v>
      </c>
      <c r="C1260">
        <v>32845560</v>
      </c>
      <c r="D1260">
        <v>36517962</v>
      </c>
    </row>
    <row r="1261" spans="1:4" x14ac:dyDescent="0.45">
      <c r="A1261" s="1" t="s">
        <v>50</v>
      </c>
      <c r="B1261">
        <v>0.179868</v>
      </c>
      <c r="C1261">
        <v>33408546</v>
      </c>
      <c r="D1261">
        <v>36964181</v>
      </c>
    </row>
    <row r="1262" spans="1:4" x14ac:dyDescent="0.45">
      <c r="A1262" s="1" t="s">
        <v>51</v>
      </c>
      <c r="B1262">
        <v>0.175952</v>
      </c>
      <c r="C1262">
        <v>32233377</v>
      </c>
      <c r="D1262">
        <v>35913845</v>
      </c>
    </row>
    <row r="1263" spans="1:4" x14ac:dyDescent="0.45">
      <c r="A1263" s="1" t="s">
        <v>52</v>
      </c>
      <c r="B1263">
        <v>0.175091</v>
      </c>
      <c r="C1263">
        <v>31731642</v>
      </c>
      <c r="D1263">
        <v>36516904</v>
      </c>
    </row>
    <row r="1264" spans="1:4" x14ac:dyDescent="0.45">
      <c r="A1264" s="1" t="s">
        <v>53</v>
      </c>
      <c r="B1264">
        <v>0.17607600000000001</v>
      </c>
      <c r="C1264">
        <v>32449191</v>
      </c>
      <c r="D1264">
        <v>36818522</v>
      </c>
    </row>
    <row r="1265" spans="1:4" x14ac:dyDescent="0.45">
      <c r="A1265" s="1" t="s">
        <v>54</v>
      </c>
      <c r="B1265">
        <v>0.18185699999999999</v>
      </c>
      <c r="C1265">
        <v>33700215</v>
      </c>
      <c r="D1265">
        <v>38226937</v>
      </c>
    </row>
    <row r="1266" spans="1:4" x14ac:dyDescent="0.45">
      <c r="A1266" s="1" t="s">
        <v>55</v>
      </c>
      <c r="B1266">
        <v>0.17678199999999999</v>
      </c>
      <c r="C1266">
        <v>34078098</v>
      </c>
      <c r="D1266">
        <v>36273194</v>
      </c>
    </row>
    <row r="1267" spans="1:4" x14ac:dyDescent="0.45">
      <c r="A1267" s="1" t="s">
        <v>56</v>
      </c>
      <c r="B1267">
        <v>0.177486</v>
      </c>
      <c r="C1267">
        <v>32952900</v>
      </c>
      <c r="D1267">
        <v>36794820</v>
      </c>
    </row>
    <row r="1268" spans="1:4" x14ac:dyDescent="0.45">
      <c r="A1268" s="1" t="s">
        <v>66</v>
      </c>
      <c r="B1268">
        <f>AVERAGE(B1218:B1267)</f>
        <v>0.17746897999999994</v>
      </c>
      <c r="C1268">
        <f>AVERAGE(C1218:C1267)</f>
        <v>32923669.199999999</v>
      </c>
      <c r="D1268">
        <f>AVERAGE(D1218:D1267)</f>
        <v>36602104.240000002</v>
      </c>
    </row>
    <row r="1269" spans="1:4" x14ac:dyDescent="0.45">
      <c r="A1269" s="1" t="s">
        <v>67</v>
      </c>
      <c r="B1269">
        <f>_xlfn.VAR.S(B1218:B1267)</f>
        <v>4.5023878567346946E-6</v>
      </c>
      <c r="C1269">
        <f>_xlfn.VAR.S(C1218:C1267)</f>
        <v>734195238276.48999</v>
      </c>
      <c r="D1269">
        <f>_xlfn.VAR.S(D1218:D1267)</f>
        <v>390489957598.79834</v>
      </c>
    </row>
    <row r="1270" spans="1:4" x14ac:dyDescent="0.45">
      <c r="A1270" s="1" t="s">
        <v>68</v>
      </c>
      <c r="B1270">
        <f>MAX(B1218:B1267)</f>
        <v>0.18185699999999999</v>
      </c>
      <c r="C1270">
        <f>MAX(C1218:C1267)</f>
        <v>35181804</v>
      </c>
      <c r="D1270">
        <f>MAX(D1218:D1267)</f>
        <v>38872630</v>
      </c>
    </row>
    <row r="1271" spans="1:4" x14ac:dyDescent="0.45">
      <c r="A1271" s="1" t="s">
        <v>59</v>
      </c>
    </row>
    <row r="1272" spans="1:4" x14ac:dyDescent="0.45">
      <c r="A1272" s="1" t="s">
        <v>7</v>
      </c>
      <c r="B1272">
        <v>2.041169</v>
      </c>
      <c r="C1272">
        <v>369008229</v>
      </c>
      <c r="D1272">
        <v>424393311</v>
      </c>
    </row>
    <row r="1273" spans="1:4" x14ac:dyDescent="0.45">
      <c r="A1273" s="1" t="s">
        <v>8</v>
      </c>
      <c r="B1273">
        <v>2.0549369999999998</v>
      </c>
      <c r="C1273">
        <v>368686575</v>
      </c>
      <c r="D1273">
        <v>436198170</v>
      </c>
    </row>
    <row r="1274" spans="1:4" x14ac:dyDescent="0.45">
      <c r="A1274" s="1" t="s">
        <v>9</v>
      </c>
      <c r="B1274">
        <v>2.0473560000000002</v>
      </c>
      <c r="C1274">
        <v>375700815</v>
      </c>
      <c r="D1274">
        <v>427599494</v>
      </c>
    </row>
    <row r="1275" spans="1:4" x14ac:dyDescent="0.45">
      <c r="A1275" s="1" t="s">
        <v>10</v>
      </c>
      <c r="B1275">
        <v>2.0390009999999998</v>
      </c>
      <c r="C1275">
        <v>365134728</v>
      </c>
      <c r="D1275">
        <v>427449383</v>
      </c>
    </row>
    <row r="1276" spans="1:4" x14ac:dyDescent="0.45">
      <c r="A1276" s="1" t="s">
        <v>11</v>
      </c>
      <c r="B1276">
        <v>2.076076</v>
      </c>
      <c r="C1276">
        <v>400062303</v>
      </c>
      <c r="D1276">
        <v>437582120</v>
      </c>
    </row>
    <row r="1277" spans="1:4" x14ac:dyDescent="0.45">
      <c r="A1277" s="1" t="s">
        <v>12</v>
      </c>
      <c r="B1277">
        <v>2.0394239999999999</v>
      </c>
      <c r="C1277">
        <v>364496082</v>
      </c>
      <c r="D1277">
        <v>430148998</v>
      </c>
    </row>
    <row r="1278" spans="1:4" x14ac:dyDescent="0.45">
      <c r="A1278" s="1" t="s">
        <v>13</v>
      </c>
      <c r="B1278">
        <v>2.035364</v>
      </c>
      <c r="C1278">
        <v>379794027</v>
      </c>
      <c r="D1278">
        <v>427298894</v>
      </c>
    </row>
    <row r="1279" spans="1:4" x14ac:dyDescent="0.45">
      <c r="A1279" s="1" t="s">
        <v>14</v>
      </c>
      <c r="B1279">
        <v>2.0385589999999998</v>
      </c>
      <c r="C1279">
        <v>374216598</v>
      </c>
      <c r="D1279">
        <v>424500053</v>
      </c>
    </row>
    <row r="1280" spans="1:4" x14ac:dyDescent="0.45">
      <c r="A1280" s="1" t="s">
        <v>15</v>
      </c>
      <c r="B1280">
        <v>2.0361259999999999</v>
      </c>
      <c r="C1280">
        <v>363365817</v>
      </c>
      <c r="D1280">
        <v>425313264</v>
      </c>
    </row>
    <row r="1281" spans="1:4" x14ac:dyDescent="0.45">
      <c r="A1281" s="1" t="s">
        <v>16</v>
      </c>
      <c r="B1281">
        <v>2.0540210000000001</v>
      </c>
      <c r="C1281">
        <v>375079242</v>
      </c>
      <c r="D1281">
        <v>427689461</v>
      </c>
    </row>
    <row r="1282" spans="1:4" x14ac:dyDescent="0.45">
      <c r="A1282" s="1" t="s">
        <v>17</v>
      </c>
      <c r="B1282">
        <v>2.0625879999999999</v>
      </c>
      <c r="C1282">
        <v>382561986</v>
      </c>
      <c r="D1282">
        <v>440130630</v>
      </c>
    </row>
    <row r="1283" spans="1:4" x14ac:dyDescent="0.45">
      <c r="A1283" s="1" t="s">
        <v>18</v>
      </c>
      <c r="B1283">
        <v>2.0803919999999998</v>
      </c>
      <c r="C1283">
        <v>389422836</v>
      </c>
      <c r="D1283">
        <v>438381068</v>
      </c>
    </row>
    <row r="1284" spans="1:4" x14ac:dyDescent="0.45">
      <c r="A1284" s="1" t="s">
        <v>19</v>
      </c>
      <c r="B1284">
        <v>2.0475150000000002</v>
      </c>
      <c r="C1284">
        <v>370291653</v>
      </c>
      <c r="D1284">
        <v>431364723</v>
      </c>
    </row>
    <row r="1285" spans="1:4" x14ac:dyDescent="0.45">
      <c r="A1285" s="1" t="s">
        <v>20</v>
      </c>
      <c r="B1285">
        <v>2.035536</v>
      </c>
      <c r="C1285">
        <v>370596192</v>
      </c>
      <c r="D1285">
        <v>422813087</v>
      </c>
    </row>
    <row r="1286" spans="1:4" x14ac:dyDescent="0.45">
      <c r="A1286" s="1" t="s">
        <v>21</v>
      </c>
      <c r="B1286">
        <v>2.054071</v>
      </c>
      <c r="C1286">
        <v>380227035</v>
      </c>
      <c r="D1286">
        <v>431880646</v>
      </c>
    </row>
    <row r="1287" spans="1:4" x14ac:dyDescent="0.45">
      <c r="A1287" s="1" t="s">
        <v>22</v>
      </c>
      <c r="B1287">
        <v>2.034805</v>
      </c>
      <c r="C1287">
        <v>377578968</v>
      </c>
      <c r="D1287">
        <v>430639754</v>
      </c>
    </row>
    <row r="1288" spans="1:4" x14ac:dyDescent="0.45">
      <c r="A1288" s="1" t="s">
        <v>23</v>
      </c>
      <c r="B1288">
        <v>2.0366620000000002</v>
      </c>
      <c r="C1288">
        <v>369013611</v>
      </c>
      <c r="D1288">
        <v>424723742</v>
      </c>
    </row>
    <row r="1289" spans="1:4" x14ac:dyDescent="0.45">
      <c r="A1289" s="1" t="s">
        <v>24</v>
      </c>
      <c r="B1289">
        <v>2.0546329999999999</v>
      </c>
      <c r="C1289">
        <v>375585294</v>
      </c>
      <c r="D1289">
        <v>425989940</v>
      </c>
    </row>
    <row r="1290" spans="1:4" x14ac:dyDescent="0.45">
      <c r="A1290" s="1" t="s">
        <v>25</v>
      </c>
      <c r="B1290">
        <v>2.0188920000000001</v>
      </c>
      <c r="C1290">
        <v>363996876</v>
      </c>
      <c r="D1290">
        <v>422570726</v>
      </c>
    </row>
    <row r="1291" spans="1:4" x14ac:dyDescent="0.45">
      <c r="A1291" s="1" t="s">
        <v>26</v>
      </c>
      <c r="B1291">
        <v>2.0785420000000001</v>
      </c>
      <c r="C1291">
        <v>392822004</v>
      </c>
      <c r="D1291">
        <v>426951441</v>
      </c>
    </row>
    <row r="1292" spans="1:4" x14ac:dyDescent="0.45">
      <c r="A1292" s="1" t="s">
        <v>27</v>
      </c>
      <c r="B1292">
        <v>2.0629940000000002</v>
      </c>
      <c r="C1292">
        <v>374085414</v>
      </c>
      <c r="D1292">
        <v>440605598</v>
      </c>
    </row>
    <row r="1293" spans="1:4" x14ac:dyDescent="0.45">
      <c r="A1293" s="1" t="s">
        <v>28</v>
      </c>
      <c r="B1293">
        <v>2.0185149999999998</v>
      </c>
      <c r="C1293">
        <v>349214676</v>
      </c>
      <c r="D1293">
        <v>445116841</v>
      </c>
    </row>
    <row r="1294" spans="1:4" x14ac:dyDescent="0.45">
      <c r="A1294" s="1" t="s">
        <v>29</v>
      </c>
      <c r="B1294">
        <v>2.05348</v>
      </c>
      <c r="C1294">
        <v>379036560</v>
      </c>
      <c r="D1294">
        <v>432351518</v>
      </c>
    </row>
    <row r="1295" spans="1:4" x14ac:dyDescent="0.45">
      <c r="A1295" s="1" t="s">
        <v>30</v>
      </c>
      <c r="B1295">
        <v>2.0242010000000001</v>
      </c>
      <c r="C1295">
        <v>366915093</v>
      </c>
      <c r="D1295">
        <v>423476384</v>
      </c>
    </row>
    <row r="1296" spans="1:4" x14ac:dyDescent="0.45">
      <c r="A1296" s="1" t="s">
        <v>31</v>
      </c>
      <c r="B1296">
        <v>2.0453100000000002</v>
      </c>
      <c r="C1296">
        <v>379375539</v>
      </c>
      <c r="D1296">
        <v>421668464</v>
      </c>
    </row>
    <row r="1297" spans="1:4" x14ac:dyDescent="0.45">
      <c r="A1297" s="1" t="s">
        <v>32</v>
      </c>
      <c r="B1297">
        <v>2.071256</v>
      </c>
      <c r="C1297">
        <v>381517224</v>
      </c>
      <c r="D1297">
        <v>431231432</v>
      </c>
    </row>
    <row r="1298" spans="1:4" x14ac:dyDescent="0.45">
      <c r="A1298" s="1" t="s">
        <v>33</v>
      </c>
      <c r="B1298">
        <v>2.0529160000000002</v>
      </c>
      <c r="C1298">
        <v>375794541</v>
      </c>
      <c r="D1298">
        <v>426599016</v>
      </c>
    </row>
    <row r="1299" spans="1:4" x14ac:dyDescent="0.45">
      <c r="A1299" s="1" t="s">
        <v>34</v>
      </c>
      <c r="B1299">
        <v>2.0495770000000002</v>
      </c>
      <c r="C1299">
        <v>369039699</v>
      </c>
      <c r="D1299">
        <v>442098870</v>
      </c>
    </row>
    <row r="1300" spans="1:4" x14ac:dyDescent="0.45">
      <c r="A1300" s="1" t="s">
        <v>35</v>
      </c>
      <c r="B1300">
        <v>2.0691090000000001</v>
      </c>
      <c r="C1300">
        <v>382976313</v>
      </c>
      <c r="D1300">
        <v>434774016</v>
      </c>
    </row>
    <row r="1301" spans="1:4" x14ac:dyDescent="0.45">
      <c r="A1301" s="1" t="s">
        <v>36</v>
      </c>
      <c r="B1301">
        <v>2.0502310000000001</v>
      </c>
      <c r="C1301">
        <v>380022360</v>
      </c>
      <c r="D1301">
        <v>427727974</v>
      </c>
    </row>
    <row r="1302" spans="1:4" x14ac:dyDescent="0.45">
      <c r="A1302" s="1" t="s">
        <v>37</v>
      </c>
      <c r="B1302">
        <v>2.0407839999999999</v>
      </c>
      <c r="C1302">
        <v>371214141</v>
      </c>
      <c r="D1302">
        <v>432593512</v>
      </c>
    </row>
    <row r="1303" spans="1:4" x14ac:dyDescent="0.45">
      <c r="A1303" s="1" t="s">
        <v>38</v>
      </c>
      <c r="B1303">
        <v>2.0662660000000002</v>
      </c>
      <c r="C1303">
        <v>388184343</v>
      </c>
      <c r="D1303">
        <v>439274891</v>
      </c>
    </row>
    <row r="1304" spans="1:4" x14ac:dyDescent="0.45">
      <c r="A1304" s="1" t="s">
        <v>39</v>
      </c>
      <c r="B1304">
        <v>2.0412319999999999</v>
      </c>
      <c r="C1304">
        <v>376668081</v>
      </c>
      <c r="D1304">
        <v>431234356</v>
      </c>
    </row>
    <row r="1305" spans="1:4" x14ac:dyDescent="0.45">
      <c r="A1305" s="1" t="s">
        <v>40</v>
      </c>
      <c r="B1305">
        <v>2.0273759999999998</v>
      </c>
      <c r="C1305">
        <v>369356964</v>
      </c>
      <c r="D1305">
        <v>426535546</v>
      </c>
    </row>
    <row r="1306" spans="1:4" x14ac:dyDescent="0.45">
      <c r="A1306" s="1" t="s">
        <v>41</v>
      </c>
      <c r="B1306">
        <v>2.0392589999999999</v>
      </c>
      <c r="C1306">
        <v>372721617</v>
      </c>
      <c r="D1306">
        <v>432515875</v>
      </c>
    </row>
    <row r="1307" spans="1:4" x14ac:dyDescent="0.45">
      <c r="A1307" s="1" t="s">
        <v>42</v>
      </c>
      <c r="B1307">
        <v>2.0600239999999999</v>
      </c>
      <c r="C1307">
        <v>373718070</v>
      </c>
      <c r="D1307">
        <v>435388126</v>
      </c>
    </row>
    <row r="1308" spans="1:4" x14ac:dyDescent="0.45">
      <c r="A1308" s="1" t="s">
        <v>43</v>
      </c>
      <c r="B1308">
        <v>2.1062810000000001</v>
      </c>
      <c r="C1308">
        <v>395420652</v>
      </c>
      <c r="D1308">
        <v>439074651</v>
      </c>
    </row>
    <row r="1309" spans="1:4" x14ac:dyDescent="0.45">
      <c r="A1309" s="1" t="s">
        <v>44</v>
      </c>
      <c r="B1309">
        <v>2.0183080000000002</v>
      </c>
      <c r="C1309">
        <v>360713907</v>
      </c>
      <c r="D1309">
        <v>429903914</v>
      </c>
    </row>
    <row r="1310" spans="1:4" x14ac:dyDescent="0.45">
      <c r="A1310" s="1" t="s">
        <v>45</v>
      </c>
      <c r="B1310">
        <v>2.0565220000000002</v>
      </c>
      <c r="C1310">
        <v>377951883</v>
      </c>
      <c r="D1310">
        <v>429573571</v>
      </c>
    </row>
    <row r="1311" spans="1:4" x14ac:dyDescent="0.45">
      <c r="A1311" s="1" t="s">
        <v>46</v>
      </c>
      <c r="B1311">
        <v>2.0588760000000002</v>
      </c>
      <c r="C1311">
        <v>387794379</v>
      </c>
      <c r="D1311">
        <v>433089144</v>
      </c>
    </row>
    <row r="1312" spans="1:4" x14ac:dyDescent="0.45">
      <c r="A1312" s="1" t="s">
        <v>47</v>
      </c>
      <c r="B1312">
        <v>2.097928</v>
      </c>
      <c r="C1312">
        <v>386490309</v>
      </c>
      <c r="D1312">
        <v>429297520</v>
      </c>
    </row>
    <row r="1313" spans="1:4" x14ac:dyDescent="0.45">
      <c r="A1313" s="1" t="s">
        <v>48</v>
      </c>
      <c r="B1313">
        <v>2.0583740000000001</v>
      </c>
      <c r="C1313">
        <v>369164409</v>
      </c>
      <c r="D1313">
        <v>431539176</v>
      </c>
    </row>
    <row r="1314" spans="1:4" x14ac:dyDescent="0.45">
      <c r="A1314" s="1" t="s">
        <v>49</v>
      </c>
      <c r="B1314">
        <v>2.0186899999999999</v>
      </c>
      <c r="C1314">
        <v>367445148</v>
      </c>
      <c r="D1314">
        <v>429433766</v>
      </c>
    </row>
    <row r="1315" spans="1:4" x14ac:dyDescent="0.45">
      <c r="A1315" s="1" t="s">
        <v>50</v>
      </c>
      <c r="B1315">
        <v>2.0468679999999999</v>
      </c>
      <c r="C1315">
        <v>371644350</v>
      </c>
      <c r="D1315">
        <v>424855351</v>
      </c>
    </row>
    <row r="1316" spans="1:4" x14ac:dyDescent="0.45">
      <c r="A1316" s="1" t="s">
        <v>51</v>
      </c>
      <c r="B1316">
        <v>2.0491809999999999</v>
      </c>
      <c r="C1316">
        <v>383405187</v>
      </c>
      <c r="D1316">
        <v>427630829</v>
      </c>
    </row>
    <row r="1317" spans="1:4" x14ac:dyDescent="0.45">
      <c r="A1317" s="1" t="s">
        <v>52</v>
      </c>
      <c r="B1317">
        <v>2.0530919999999999</v>
      </c>
      <c r="C1317">
        <v>380553138</v>
      </c>
      <c r="D1317">
        <v>425942684</v>
      </c>
    </row>
    <row r="1318" spans="1:4" x14ac:dyDescent="0.45">
      <c r="A1318" s="1" t="s">
        <v>53</v>
      </c>
      <c r="B1318">
        <v>2.1468720000000001</v>
      </c>
      <c r="C1318">
        <v>413694033</v>
      </c>
      <c r="D1318">
        <v>466665811</v>
      </c>
    </row>
    <row r="1319" spans="1:4" x14ac:dyDescent="0.45">
      <c r="A1319" s="1" t="s">
        <v>54</v>
      </c>
      <c r="B1319">
        <v>2.054157</v>
      </c>
      <c r="C1319">
        <v>375651834</v>
      </c>
      <c r="D1319">
        <v>436340462</v>
      </c>
    </row>
    <row r="1320" spans="1:4" x14ac:dyDescent="0.45">
      <c r="A1320" s="1" t="s">
        <v>55</v>
      </c>
      <c r="B1320">
        <v>2.0633319999999999</v>
      </c>
      <c r="C1320">
        <v>382075776</v>
      </c>
      <c r="D1320">
        <v>441829224</v>
      </c>
    </row>
    <row r="1321" spans="1:4" x14ac:dyDescent="0.45">
      <c r="A1321" s="1" t="s">
        <v>56</v>
      </c>
      <c r="B1321">
        <v>2.0284680000000002</v>
      </c>
      <c r="C1321">
        <v>372214959</v>
      </c>
      <c r="D1321">
        <v>422707755</v>
      </c>
    </row>
    <row r="1322" spans="1:4" x14ac:dyDescent="0.45">
      <c r="A1322" s="1" t="s">
        <v>66</v>
      </c>
      <c r="B1322">
        <f>AVERAGE(B1272:B1321)</f>
        <v>2.0519029600000005</v>
      </c>
      <c r="C1322">
        <f>AVERAGE(C1272:C1321)</f>
        <v>376434029.39999998</v>
      </c>
      <c r="D1322">
        <f>AVERAGE(D1272:D1321)</f>
        <v>431493903.63999999</v>
      </c>
    </row>
    <row r="1323" spans="1:4" x14ac:dyDescent="0.45">
      <c r="A1323" s="1" t="s">
        <v>67</v>
      </c>
      <c r="B1323">
        <f>_xlfn.VAR.S(B1272:B1321)</f>
        <v>5.4009876734530679E-4</v>
      </c>
      <c r="C1323">
        <f>_xlfn.VAR.S(C1272:C1321)</f>
        <v>114944384013074.45</v>
      </c>
      <c r="D1323">
        <f>_xlfn.VAR.S(D1272:D1321)</f>
        <v>60014034768876.438</v>
      </c>
    </row>
    <row r="1324" spans="1:4" x14ac:dyDescent="0.45">
      <c r="A1324" s="1" t="s">
        <v>68</v>
      </c>
      <c r="B1324">
        <f>MAX(B1272:B1321)</f>
        <v>2.1468720000000001</v>
      </c>
      <c r="C1324">
        <f>MAX(C1272:C1321)</f>
        <v>413694033</v>
      </c>
      <c r="D1324">
        <f>MAX(D1272:D1321)</f>
        <v>466665811</v>
      </c>
    </row>
    <row r="1325" spans="1:4" x14ac:dyDescent="0.45">
      <c r="A1325" s="1" t="s">
        <v>65</v>
      </c>
    </row>
    <row r="1326" spans="1:4" x14ac:dyDescent="0.45">
      <c r="A1326" s="1" t="s">
        <v>4</v>
      </c>
    </row>
    <row r="1327" spans="1:4" x14ac:dyDescent="0.45">
      <c r="A1327" s="1" t="s">
        <v>4</v>
      </c>
    </row>
    <row r="1328" spans="1:4" x14ac:dyDescent="0.45">
      <c r="A1328" s="1" t="s">
        <v>4</v>
      </c>
    </row>
    <row r="1329" spans="1:4" x14ac:dyDescent="0.45">
      <c r="A1329" s="1" t="s">
        <v>6</v>
      </c>
    </row>
    <row r="1330" spans="1:4" x14ac:dyDescent="0.45">
      <c r="A1330" s="1" t="s">
        <v>7</v>
      </c>
      <c r="B1330">
        <v>1.41E-3</v>
      </c>
      <c r="C1330">
        <v>253478</v>
      </c>
      <c r="D1330">
        <v>277819</v>
      </c>
    </row>
    <row r="1331" spans="1:4" x14ac:dyDescent="0.45">
      <c r="A1331" s="1" t="s">
        <v>8</v>
      </c>
      <c r="B1331">
        <v>1.382E-3</v>
      </c>
      <c r="C1331">
        <v>262846</v>
      </c>
      <c r="D1331">
        <v>272589</v>
      </c>
    </row>
    <row r="1332" spans="1:4" x14ac:dyDescent="0.45">
      <c r="A1332" s="1" t="s">
        <v>9</v>
      </c>
      <c r="B1332">
        <v>1.73E-3</v>
      </c>
      <c r="C1332">
        <v>311901</v>
      </c>
      <c r="D1332">
        <v>414218</v>
      </c>
    </row>
    <row r="1333" spans="1:4" x14ac:dyDescent="0.45">
      <c r="A1333" s="1" t="s">
        <v>10</v>
      </c>
      <c r="B1333">
        <v>1.83E-3</v>
      </c>
      <c r="C1333">
        <v>336178</v>
      </c>
      <c r="D1333">
        <v>456670</v>
      </c>
    </row>
    <row r="1334" spans="1:4" x14ac:dyDescent="0.45">
      <c r="A1334" s="1" t="s">
        <v>11</v>
      </c>
      <c r="B1334">
        <v>1.389E-3</v>
      </c>
      <c r="C1334">
        <v>254962</v>
      </c>
      <c r="D1334">
        <v>274625</v>
      </c>
    </row>
    <row r="1335" spans="1:4" x14ac:dyDescent="0.45">
      <c r="A1335" s="1" t="s">
        <v>12</v>
      </c>
      <c r="B1335">
        <v>1.426E-3</v>
      </c>
      <c r="C1335">
        <v>259837</v>
      </c>
      <c r="D1335">
        <v>269722</v>
      </c>
    </row>
    <row r="1336" spans="1:4" x14ac:dyDescent="0.45">
      <c r="A1336" s="1" t="s">
        <v>13</v>
      </c>
      <c r="B1336">
        <v>1.3829999999999999E-3</v>
      </c>
      <c r="C1336">
        <v>253306</v>
      </c>
      <c r="D1336">
        <v>274253</v>
      </c>
    </row>
    <row r="1337" spans="1:4" x14ac:dyDescent="0.45">
      <c r="A1337" s="1" t="s">
        <v>14</v>
      </c>
      <c r="B1337">
        <v>1.472E-3</v>
      </c>
      <c r="C1337">
        <v>269161</v>
      </c>
      <c r="D1337">
        <v>286403</v>
      </c>
    </row>
    <row r="1338" spans="1:4" x14ac:dyDescent="0.45">
      <c r="A1338" s="1" t="s">
        <v>15</v>
      </c>
      <c r="B1338">
        <v>1.4289999999999999E-3</v>
      </c>
      <c r="C1338">
        <v>251156</v>
      </c>
      <c r="D1338">
        <v>293308</v>
      </c>
    </row>
    <row r="1339" spans="1:4" x14ac:dyDescent="0.45">
      <c r="A1339" s="1" t="s">
        <v>16</v>
      </c>
      <c r="B1339">
        <v>1.428E-3</v>
      </c>
      <c r="C1339">
        <v>277248</v>
      </c>
      <c r="D1339">
        <v>275245</v>
      </c>
    </row>
    <row r="1340" spans="1:4" x14ac:dyDescent="0.45">
      <c r="A1340" s="1" t="s">
        <v>17</v>
      </c>
      <c r="B1340">
        <v>1.506E-3</v>
      </c>
      <c r="C1340">
        <v>282510</v>
      </c>
      <c r="D1340">
        <v>328428</v>
      </c>
    </row>
    <row r="1341" spans="1:4" x14ac:dyDescent="0.45">
      <c r="A1341" s="1" t="s">
        <v>18</v>
      </c>
      <c r="B1341">
        <v>1.4E-3</v>
      </c>
      <c r="C1341">
        <v>275460</v>
      </c>
      <c r="D1341">
        <v>282585</v>
      </c>
    </row>
    <row r="1342" spans="1:4" x14ac:dyDescent="0.45">
      <c r="A1342" s="1" t="s">
        <v>19</v>
      </c>
      <c r="B1342">
        <v>1.408E-3</v>
      </c>
      <c r="C1342">
        <v>270969</v>
      </c>
      <c r="D1342">
        <v>273519</v>
      </c>
    </row>
    <row r="1343" spans="1:4" x14ac:dyDescent="0.45">
      <c r="A1343" s="1" t="s">
        <v>20</v>
      </c>
      <c r="B1343">
        <v>1.4220000000000001E-3</v>
      </c>
      <c r="C1343">
        <v>266653</v>
      </c>
      <c r="D1343">
        <v>277815</v>
      </c>
    </row>
    <row r="1344" spans="1:4" x14ac:dyDescent="0.45">
      <c r="A1344" s="1" t="s">
        <v>21</v>
      </c>
      <c r="B1344">
        <v>1.5950000000000001E-3</v>
      </c>
      <c r="C1344">
        <v>297282</v>
      </c>
      <c r="D1344">
        <v>378804</v>
      </c>
    </row>
    <row r="1345" spans="1:4" x14ac:dyDescent="0.45">
      <c r="A1345" s="1" t="s">
        <v>22</v>
      </c>
      <c r="B1345">
        <v>1.426E-3</v>
      </c>
      <c r="C1345">
        <v>285546</v>
      </c>
      <c r="D1345">
        <v>310105</v>
      </c>
    </row>
    <row r="1346" spans="1:4" x14ac:dyDescent="0.45">
      <c r="A1346" s="1" t="s">
        <v>23</v>
      </c>
      <c r="B1346">
        <v>1.993E-3</v>
      </c>
      <c r="C1346">
        <v>363800</v>
      </c>
      <c r="D1346">
        <v>550440</v>
      </c>
    </row>
    <row r="1347" spans="1:4" x14ac:dyDescent="0.45">
      <c r="A1347" s="1" t="s">
        <v>24</v>
      </c>
      <c r="B1347">
        <v>1.3420000000000001E-3</v>
      </c>
      <c r="C1347">
        <v>252837</v>
      </c>
      <c r="D1347">
        <v>272106</v>
      </c>
    </row>
    <row r="1348" spans="1:4" x14ac:dyDescent="0.45">
      <c r="A1348" s="1" t="s">
        <v>25</v>
      </c>
      <c r="B1348">
        <v>1.4430000000000001E-3</v>
      </c>
      <c r="C1348">
        <v>273824</v>
      </c>
      <c r="D1348">
        <v>277449</v>
      </c>
    </row>
    <row r="1349" spans="1:4" x14ac:dyDescent="0.45">
      <c r="A1349" s="1" t="s">
        <v>26</v>
      </c>
      <c r="B1349">
        <v>1.9819999999999998E-3</v>
      </c>
      <c r="C1349">
        <v>324576</v>
      </c>
      <c r="D1349">
        <v>486631</v>
      </c>
    </row>
    <row r="1350" spans="1:4" x14ac:dyDescent="0.45">
      <c r="A1350" s="1" t="s">
        <v>27</v>
      </c>
      <c r="B1350">
        <v>1.7099999999999999E-3</v>
      </c>
      <c r="C1350">
        <v>306876</v>
      </c>
      <c r="D1350">
        <v>408971</v>
      </c>
    </row>
    <row r="1351" spans="1:4" x14ac:dyDescent="0.45">
      <c r="A1351" s="1" t="s">
        <v>28</v>
      </c>
      <c r="B1351">
        <v>1.3649999999999999E-3</v>
      </c>
      <c r="C1351">
        <v>274900</v>
      </c>
      <c r="D1351">
        <v>270509</v>
      </c>
    </row>
    <row r="1352" spans="1:4" x14ac:dyDescent="0.45">
      <c r="A1352" s="1" t="s">
        <v>29</v>
      </c>
      <c r="B1352">
        <v>1.32E-3</v>
      </c>
      <c r="C1352">
        <v>248454</v>
      </c>
      <c r="D1352">
        <v>267349</v>
      </c>
    </row>
    <row r="1353" spans="1:4" x14ac:dyDescent="0.45">
      <c r="A1353" s="1" t="s">
        <v>30</v>
      </c>
      <c r="B1353">
        <v>1.506E-3</v>
      </c>
      <c r="C1353">
        <v>274897</v>
      </c>
      <c r="D1353">
        <v>329008</v>
      </c>
    </row>
    <row r="1354" spans="1:4" x14ac:dyDescent="0.45">
      <c r="A1354" s="1" t="s">
        <v>31</v>
      </c>
      <c r="B1354">
        <v>1.47E-3</v>
      </c>
      <c r="C1354">
        <v>276239</v>
      </c>
      <c r="D1354">
        <v>318125</v>
      </c>
    </row>
    <row r="1355" spans="1:4" x14ac:dyDescent="0.45">
      <c r="A1355" s="1" t="s">
        <v>32</v>
      </c>
      <c r="B1355">
        <v>1.3519999999999999E-3</v>
      </c>
      <c r="C1355">
        <v>269492</v>
      </c>
      <c r="D1355">
        <v>266906</v>
      </c>
    </row>
    <row r="1356" spans="1:4" x14ac:dyDescent="0.45">
      <c r="A1356" s="1" t="s">
        <v>33</v>
      </c>
      <c r="B1356">
        <v>1.681E-3</v>
      </c>
      <c r="C1356">
        <v>309611</v>
      </c>
      <c r="D1356">
        <v>403830</v>
      </c>
    </row>
    <row r="1357" spans="1:4" x14ac:dyDescent="0.45">
      <c r="A1357" s="1" t="s">
        <v>34</v>
      </c>
      <c r="B1357">
        <v>1.3979999999999999E-3</v>
      </c>
      <c r="C1357">
        <v>276939</v>
      </c>
      <c r="D1357">
        <v>283065</v>
      </c>
    </row>
    <row r="1358" spans="1:4" x14ac:dyDescent="0.45">
      <c r="A1358" s="1" t="s">
        <v>35</v>
      </c>
      <c r="B1358">
        <v>1.464E-3</v>
      </c>
      <c r="C1358">
        <v>278722</v>
      </c>
      <c r="D1358">
        <v>278820</v>
      </c>
    </row>
    <row r="1359" spans="1:4" x14ac:dyDescent="0.45">
      <c r="A1359" s="1" t="s">
        <v>36</v>
      </c>
      <c r="B1359">
        <v>1.5380000000000001E-3</v>
      </c>
      <c r="C1359">
        <v>273777</v>
      </c>
      <c r="D1359">
        <v>298525</v>
      </c>
    </row>
    <row r="1360" spans="1:4" x14ac:dyDescent="0.45">
      <c r="A1360" s="1" t="s">
        <v>37</v>
      </c>
      <c r="B1360">
        <v>1.7489999999999999E-3</v>
      </c>
      <c r="C1360">
        <v>305545</v>
      </c>
      <c r="D1360">
        <v>407846</v>
      </c>
    </row>
    <row r="1361" spans="1:4" x14ac:dyDescent="0.45">
      <c r="A1361" s="1" t="s">
        <v>38</v>
      </c>
      <c r="B1361">
        <v>1.377E-3</v>
      </c>
      <c r="C1361">
        <v>251037</v>
      </c>
      <c r="D1361">
        <v>279270</v>
      </c>
    </row>
    <row r="1362" spans="1:4" x14ac:dyDescent="0.45">
      <c r="A1362" s="1" t="s">
        <v>39</v>
      </c>
      <c r="B1362">
        <v>1.475E-3</v>
      </c>
      <c r="C1362">
        <v>268536</v>
      </c>
      <c r="D1362">
        <v>317069</v>
      </c>
    </row>
    <row r="1363" spans="1:4" x14ac:dyDescent="0.45">
      <c r="A1363" s="1" t="s">
        <v>40</v>
      </c>
      <c r="B1363">
        <v>2.039E-3</v>
      </c>
      <c r="C1363">
        <v>355576</v>
      </c>
      <c r="D1363">
        <v>549318</v>
      </c>
    </row>
    <row r="1364" spans="1:4" x14ac:dyDescent="0.45">
      <c r="A1364" s="1" t="s">
        <v>41</v>
      </c>
      <c r="B1364">
        <v>2.1909999999999998E-3</v>
      </c>
      <c r="C1364">
        <v>380142</v>
      </c>
      <c r="D1364">
        <v>627067</v>
      </c>
    </row>
    <row r="1365" spans="1:4" x14ac:dyDescent="0.45">
      <c r="A1365" s="1" t="s">
        <v>42</v>
      </c>
      <c r="B1365">
        <v>1.5139999999999999E-3</v>
      </c>
      <c r="C1365">
        <v>281468</v>
      </c>
      <c r="D1365">
        <v>333160</v>
      </c>
    </row>
    <row r="1366" spans="1:4" x14ac:dyDescent="0.45">
      <c r="A1366" s="1" t="s">
        <v>43</v>
      </c>
      <c r="B1366">
        <v>1.366E-3</v>
      </c>
      <c r="C1366">
        <v>267838</v>
      </c>
      <c r="D1366">
        <v>275931</v>
      </c>
    </row>
    <row r="1367" spans="1:4" x14ac:dyDescent="0.45">
      <c r="A1367" s="1" t="s">
        <v>44</v>
      </c>
      <c r="B1367">
        <v>1.3669999999999999E-3</v>
      </c>
      <c r="C1367">
        <v>253141</v>
      </c>
      <c r="D1367">
        <v>275993</v>
      </c>
    </row>
    <row r="1368" spans="1:4" x14ac:dyDescent="0.45">
      <c r="A1368" s="1" t="s">
        <v>45</v>
      </c>
      <c r="B1368">
        <v>1.7650000000000001E-3</v>
      </c>
      <c r="C1368">
        <v>327451</v>
      </c>
      <c r="D1368">
        <v>416201</v>
      </c>
    </row>
    <row r="1369" spans="1:4" x14ac:dyDescent="0.45">
      <c r="A1369" s="1" t="s">
        <v>46</v>
      </c>
      <c r="B1369">
        <v>2.1199999999999999E-3</v>
      </c>
      <c r="C1369">
        <v>325429</v>
      </c>
      <c r="D1369">
        <v>529659</v>
      </c>
    </row>
    <row r="1370" spans="1:4" x14ac:dyDescent="0.45">
      <c r="A1370" s="1" t="s">
        <v>47</v>
      </c>
      <c r="B1370">
        <v>2.0869999999999999E-3</v>
      </c>
      <c r="C1370">
        <v>375699</v>
      </c>
      <c r="D1370">
        <v>610560</v>
      </c>
    </row>
    <row r="1371" spans="1:4" x14ac:dyDescent="0.45">
      <c r="A1371" s="1" t="s">
        <v>48</v>
      </c>
      <c r="B1371">
        <v>1.366E-3</v>
      </c>
      <c r="C1371">
        <v>276438</v>
      </c>
      <c r="D1371">
        <v>279167</v>
      </c>
    </row>
    <row r="1372" spans="1:4" x14ac:dyDescent="0.45">
      <c r="A1372" s="1" t="s">
        <v>49</v>
      </c>
      <c r="B1372">
        <v>2.1849999999999999E-3</v>
      </c>
      <c r="C1372">
        <v>383364</v>
      </c>
      <c r="D1372">
        <v>574751</v>
      </c>
    </row>
    <row r="1373" spans="1:4" x14ac:dyDescent="0.45">
      <c r="A1373" s="1" t="s">
        <v>50</v>
      </c>
      <c r="B1373">
        <v>1.5969999999999999E-3</v>
      </c>
      <c r="C1373">
        <v>297840</v>
      </c>
      <c r="D1373">
        <v>374485</v>
      </c>
    </row>
    <row r="1374" spans="1:4" x14ac:dyDescent="0.45">
      <c r="A1374" s="1" t="s">
        <v>51</v>
      </c>
      <c r="B1374">
        <v>1.408E-3</v>
      </c>
      <c r="C1374">
        <v>276749</v>
      </c>
      <c r="D1374">
        <v>274367</v>
      </c>
    </row>
    <row r="1375" spans="1:4" x14ac:dyDescent="0.45">
      <c r="A1375" s="1" t="s">
        <v>52</v>
      </c>
      <c r="B1375">
        <v>1.3780000000000001E-3</v>
      </c>
      <c r="C1375">
        <v>262338</v>
      </c>
      <c r="D1375">
        <v>270876</v>
      </c>
    </row>
    <row r="1376" spans="1:4" x14ac:dyDescent="0.45">
      <c r="A1376" s="1" t="s">
        <v>53</v>
      </c>
      <c r="B1376">
        <v>1.534E-3</v>
      </c>
      <c r="C1376">
        <v>277035</v>
      </c>
      <c r="D1376">
        <v>349199</v>
      </c>
    </row>
    <row r="1377" spans="1:4" x14ac:dyDescent="0.45">
      <c r="A1377" s="1" t="s">
        <v>54</v>
      </c>
      <c r="B1377">
        <v>1.3829999999999999E-3</v>
      </c>
      <c r="C1377">
        <v>258728</v>
      </c>
      <c r="D1377">
        <v>272366</v>
      </c>
    </row>
    <row r="1378" spans="1:4" x14ac:dyDescent="0.45">
      <c r="A1378" s="1" t="s">
        <v>55</v>
      </c>
      <c r="B1378">
        <v>1.431E-3</v>
      </c>
      <c r="C1378">
        <v>257315</v>
      </c>
      <c r="D1378">
        <v>266936</v>
      </c>
    </row>
    <row r="1379" spans="1:4" x14ac:dyDescent="0.45">
      <c r="A1379" s="1" t="s">
        <v>56</v>
      </c>
      <c r="B1379">
        <v>1.7979999999999999E-3</v>
      </c>
      <c r="C1379">
        <v>323933</v>
      </c>
      <c r="D1379">
        <v>445249</v>
      </c>
    </row>
    <row r="1380" spans="1:4" x14ac:dyDescent="0.45">
      <c r="A1380" s="1" t="s">
        <v>66</v>
      </c>
      <c r="B1380">
        <f>AVERAGE(B1330:B1379)</f>
        <v>1.5666000000000002E-3</v>
      </c>
      <c r="C1380">
        <f>AVERAGE(C1330:C1379)</f>
        <v>288380.78000000003</v>
      </c>
      <c r="D1380">
        <f>AVERAGE(D1330:D1379)</f>
        <v>347746.24</v>
      </c>
    </row>
    <row r="1381" spans="1:4" x14ac:dyDescent="0.45">
      <c r="A1381" s="1" t="s">
        <v>67</v>
      </c>
      <c r="B1381">
        <f>_xlfn.VAR.S(B1330:B1379)</f>
        <v>6.1629020408163256E-8</v>
      </c>
      <c r="C1381">
        <f>_xlfn.VAR.S(C1330:C1379)</f>
        <v>1296659667.8893893</v>
      </c>
      <c r="D1381">
        <f>_xlfn.VAR.S(D1330:D1379)</f>
        <v>10566270093.124901</v>
      </c>
    </row>
    <row r="1382" spans="1:4" x14ac:dyDescent="0.45">
      <c r="A1382" s="1" t="s">
        <v>68</v>
      </c>
      <c r="B1382">
        <f>MAX(B1330:B1379)</f>
        <v>2.1909999999999998E-3</v>
      </c>
      <c r="C1382">
        <f>MAX(C1330:C1379)</f>
        <v>383364</v>
      </c>
      <c r="D1382">
        <f>MAX(D1330:D1379)</f>
        <v>627067</v>
      </c>
    </row>
    <row r="1383" spans="1:4" x14ac:dyDescent="0.45">
      <c r="A1383" s="1" t="s">
        <v>57</v>
      </c>
    </row>
    <row r="1384" spans="1:4" x14ac:dyDescent="0.45">
      <c r="A1384" s="1" t="s">
        <v>7</v>
      </c>
      <c r="B1384">
        <v>3.8237E-2</v>
      </c>
      <c r="C1384">
        <v>6375982</v>
      </c>
      <c r="D1384">
        <v>13106353</v>
      </c>
    </row>
    <row r="1385" spans="1:4" x14ac:dyDescent="0.45">
      <c r="A1385" s="1" t="s">
        <v>8</v>
      </c>
      <c r="B1385">
        <v>2.1194000000000001E-2</v>
      </c>
      <c r="C1385">
        <v>3851624</v>
      </c>
      <c r="D1385">
        <v>5490487</v>
      </c>
    </row>
    <row r="1386" spans="1:4" x14ac:dyDescent="0.45">
      <c r="A1386" s="1" t="s">
        <v>9</v>
      </c>
      <c r="B1386">
        <v>2.5422E-2</v>
      </c>
      <c r="C1386">
        <v>4579029</v>
      </c>
      <c r="D1386">
        <v>7428420</v>
      </c>
    </row>
    <row r="1387" spans="1:4" x14ac:dyDescent="0.45">
      <c r="A1387" s="1" t="s">
        <v>10</v>
      </c>
      <c r="B1387">
        <v>1.6239E-2</v>
      </c>
      <c r="C1387">
        <v>3073709</v>
      </c>
      <c r="D1387">
        <v>3401658</v>
      </c>
    </row>
    <row r="1388" spans="1:4" x14ac:dyDescent="0.45">
      <c r="A1388" s="1" t="s">
        <v>11</v>
      </c>
      <c r="B1388">
        <v>3.9049E-2</v>
      </c>
      <c r="C1388">
        <v>6612018</v>
      </c>
      <c r="D1388">
        <v>13673661</v>
      </c>
    </row>
    <row r="1389" spans="1:4" x14ac:dyDescent="0.45">
      <c r="A1389" s="1" t="s">
        <v>12</v>
      </c>
      <c r="B1389">
        <v>1.6848999999999999E-2</v>
      </c>
      <c r="C1389">
        <v>3098181</v>
      </c>
      <c r="D1389">
        <v>3633300</v>
      </c>
    </row>
    <row r="1390" spans="1:4" x14ac:dyDescent="0.45">
      <c r="A1390" s="1" t="s">
        <v>13</v>
      </c>
      <c r="B1390">
        <v>1.6788999999999998E-2</v>
      </c>
      <c r="C1390">
        <v>3224061</v>
      </c>
      <c r="D1390">
        <v>3470383</v>
      </c>
    </row>
    <row r="1391" spans="1:4" x14ac:dyDescent="0.45">
      <c r="A1391" s="1" t="s">
        <v>14</v>
      </c>
      <c r="B1391">
        <v>2.4597999999999998E-2</v>
      </c>
      <c r="C1391">
        <v>4187694</v>
      </c>
      <c r="D1391">
        <v>6742753</v>
      </c>
    </row>
    <row r="1392" spans="1:4" x14ac:dyDescent="0.45">
      <c r="A1392" s="1" t="s">
        <v>15</v>
      </c>
      <c r="B1392">
        <v>1.7472999999999999E-2</v>
      </c>
      <c r="C1392">
        <v>3242483</v>
      </c>
      <c r="D1392">
        <v>3606981</v>
      </c>
    </row>
    <row r="1393" spans="1:4" x14ac:dyDescent="0.45">
      <c r="A1393" s="1" t="s">
        <v>16</v>
      </c>
      <c r="B1393">
        <v>1.6992E-2</v>
      </c>
      <c r="C1393">
        <v>3265789</v>
      </c>
      <c r="D1393">
        <v>3408354</v>
      </c>
    </row>
    <row r="1394" spans="1:4" x14ac:dyDescent="0.45">
      <c r="A1394" s="1" t="s">
        <v>17</v>
      </c>
      <c r="B1394">
        <v>1.687E-2</v>
      </c>
      <c r="C1394">
        <v>3177165</v>
      </c>
      <c r="D1394">
        <v>3318640</v>
      </c>
    </row>
    <row r="1395" spans="1:4" x14ac:dyDescent="0.45">
      <c r="A1395" s="1" t="s">
        <v>18</v>
      </c>
      <c r="B1395">
        <v>1.7087999999999999E-2</v>
      </c>
      <c r="C1395">
        <v>3159274</v>
      </c>
      <c r="D1395">
        <v>3680720</v>
      </c>
    </row>
    <row r="1396" spans="1:4" x14ac:dyDescent="0.45">
      <c r="A1396" s="1" t="s">
        <v>19</v>
      </c>
      <c r="B1396">
        <v>2.7411000000000001E-2</v>
      </c>
      <c r="C1396">
        <v>4607648</v>
      </c>
      <c r="D1396">
        <v>8207899</v>
      </c>
    </row>
    <row r="1397" spans="1:4" x14ac:dyDescent="0.45">
      <c r="A1397" s="1" t="s">
        <v>20</v>
      </c>
      <c r="B1397">
        <v>1.6466999999999999E-2</v>
      </c>
      <c r="C1397">
        <v>3182550</v>
      </c>
      <c r="D1397">
        <v>3303099</v>
      </c>
    </row>
    <row r="1398" spans="1:4" x14ac:dyDescent="0.45">
      <c r="A1398" s="1" t="s">
        <v>21</v>
      </c>
      <c r="B1398">
        <v>1.6212000000000001E-2</v>
      </c>
      <c r="C1398">
        <v>3162054</v>
      </c>
      <c r="D1398">
        <v>3347684</v>
      </c>
    </row>
    <row r="1399" spans="1:4" x14ac:dyDescent="0.45">
      <c r="A1399" s="1" t="s">
        <v>22</v>
      </c>
      <c r="B1399">
        <v>1.6514999999999998E-2</v>
      </c>
      <c r="C1399">
        <v>3055866</v>
      </c>
      <c r="D1399">
        <v>3353754</v>
      </c>
    </row>
    <row r="1400" spans="1:4" x14ac:dyDescent="0.45">
      <c r="A1400" s="1" t="s">
        <v>23</v>
      </c>
      <c r="B1400">
        <v>1.5959999999999998E-2</v>
      </c>
      <c r="C1400">
        <v>2949760</v>
      </c>
      <c r="D1400">
        <v>3415917</v>
      </c>
    </row>
    <row r="1401" spans="1:4" x14ac:dyDescent="0.45">
      <c r="A1401" s="1" t="s">
        <v>24</v>
      </c>
      <c r="B1401">
        <v>1.6763E-2</v>
      </c>
      <c r="C1401">
        <v>3077665</v>
      </c>
      <c r="D1401">
        <v>3343184</v>
      </c>
    </row>
    <row r="1402" spans="1:4" x14ac:dyDescent="0.45">
      <c r="A1402" s="1" t="s">
        <v>25</v>
      </c>
      <c r="B1402">
        <v>2.8209999999999999E-2</v>
      </c>
      <c r="C1402">
        <v>4791716</v>
      </c>
      <c r="D1402">
        <v>8484016</v>
      </c>
    </row>
    <row r="1403" spans="1:4" x14ac:dyDescent="0.45">
      <c r="A1403" s="1" t="s">
        <v>26</v>
      </c>
      <c r="B1403">
        <v>4.4484999999999997E-2</v>
      </c>
      <c r="C1403">
        <v>7265444</v>
      </c>
      <c r="D1403">
        <v>15934370</v>
      </c>
    </row>
    <row r="1404" spans="1:4" x14ac:dyDescent="0.45">
      <c r="A1404" s="1" t="s">
        <v>27</v>
      </c>
      <c r="B1404">
        <v>3.3373E-2</v>
      </c>
      <c r="C1404">
        <v>5372853</v>
      </c>
      <c r="D1404">
        <v>10092007</v>
      </c>
    </row>
    <row r="1405" spans="1:4" x14ac:dyDescent="0.45">
      <c r="A1405" s="1" t="s">
        <v>28</v>
      </c>
      <c r="B1405">
        <v>1.754E-2</v>
      </c>
      <c r="C1405">
        <v>3087626</v>
      </c>
      <c r="D1405">
        <v>3328837</v>
      </c>
    </row>
    <row r="1406" spans="1:4" x14ac:dyDescent="0.45">
      <c r="A1406" s="1" t="s">
        <v>29</v>
      </c>
      <c r="B1406">
        <v>2.6412000000000001E-2</v>
      </c>
      <c r="C1406">
        <v>4522773</v>
      </c>
      <c r="D1406">
        <v>7556910</v>
      </c>
    </row>
    <row r="1407" spans="1:4" x14ac:dyDescent="0.45">
      <c r="A1407" s="1" t="s">
        <v>30</v>
      </c>
      <c r="B1407">
        <v>2.3883000000000001E-2</v>
      </c>
      <c r="C1407">
        <v>4270224</v>
      </c>
      <c r="D1407">
        <v>6693787</v>
      </c>
    </row>
    <row r="1408" spans="1:4" x14ac:dyDescent="0.45">
      <c r="A1408" s="1" t="s">
        <v>31</v>
      </c>
      <c r="B1408">
        <v>1.9129E-2</v>
      </c>
      <c r="C1408">
        <v>3446325</v>
      </c>
      <c r="D1408">
        <v>4626906</v>
      </c>
    </row>
    <row r="1409" spans="1:4" x14ac:dyDescent="0.45">
      <c r="A1409" s="1" t="s">
        <v>32</v>
      </c>
      <c r="B1409">
        <v>2.7711E-2</v>
      </c>
      <c r="C1409">
        <v>4817631</v>
      </c>
      <c r="D1409">
        <v>8306929</v>
      </c>
    </row>
    <row r="1410" spans="1:4" x14ac:dyDescent="0.45">
      <c r="A1410" s="1" t="s">
        <v>33</v>
      </c>
      <c r="B1410">
        <v>1.6461E-2</v>
      </c>
      <c r="C1410">
        <v>3171575</v>
      </c>
      <c r="D1410">
        <v>3516460</v>
      </c>
    </row>
    <row r="1411" spans="1:4" x14ac:dyDescent="0.45">
      <c r="A1411" s="1" t="s">
        <v>34</v>
      </c>
      <c r="B1411">
        <v>1.7212999999999999E-2</v>
      </c>
      <c r="C1411">
        <v>3297806</v>
      </c>
      <c r="D1411">
        <v>3739712</v>
      </c>
    </row>
    <row r="1412" spans="1:4" x14ac:dyDescent="0.45">
      <c r="A1412" s="1" t="s">
        <v>35</v>
      </c>
      <c r="B1412">
        <v>1.6004000000000001E-2</v>
      </c>
      <c r="C1412">
        <v>2957747</v>
      </c>
      <c r="D1412">
        <v>3392760</v>
      </c>
    </row>
    <row r="1413" spans="1:4" x14ac:dyDescent="0.45">
      <c r="A1413" s="1" t="s">
        <v>36</v>
      </c>
      <c r="B1413">
        <v>3.9502000000000002E-2</v>
      </c>
      <c r="C1413">
        <v>6399932</v>
      </c>
      <c r="D1413">
        <v>13540300</v>
      </c>
    </row>
    <row r="1414" spans="1:4" x14ac:dyDescent="0.45">
      <c r="A1414" s="1" t="s">
        <v>37</v>
      </c>
      <c r="B1414">
        <v>1.6192000000000002E-2</v>
      </c>
      <c r="C1414">
        <v>3150172</v>
      </c>
      <c r="D1414">
        <v>3296548</v>
      </c>
    </row>
    <row r="1415" spans="1:4" x14ac:dyDescent="0.45">
      <c r="A1415" s="1" t="s">
        <v>38</v>
      </c>
      <c r="B1415">
        <v>1.6628E-2</v>
      </c>
      <c r="C1415">
        <v>2945052</v>
      </c>
      <c r="D1415">
        <v>3312699</v>
      </c>
    </row>
    <row r="1416" spans="1:4" x14ac:dyDescent="0.45">
      <c r="A1416" s="1" t="s">
        <v>39</v>
      </c>
      <c r="B1416">
        <v>1.5997999999999998E-2</v>
      </c>
      <c r="C1416">
        <v>2922561</v>
      </c>
      <c r="D1416">
        <v>3391389</v>
      </c>
    </row>
    <row r="1417" spans="1:4" x14ac:dyDescent="0.45">
      <c r="A1417" s="1" t="s">
        <v>40</v>
      </c>
      <c r="B1417">
        <v>2.1083999999999999E-2</v>
      </c>
      <c r="C1417">
        <v>3808850</v>
      </c>
      <c r="D1417">
        <v>5402920</v>
      </c>
    </row>
    <row r="1418" spans="1:4" x14ac:dyDescent="0.45">
      <c r="A1418" s="1" t="s">
        <v>41</v>
      </c>
      <c r="B1418">
        <v>1.61E-2</v>
      </c>
      <c r="C1418">
        <v>2981280</v>
      </c>
      <c r="D1418">
        <v>3334805</v>
      </c>
    </row>
    <row r="1419" spans="1:4" x14ac:dyDescent="0.45">
      <c r="A1419" s="1" t="s">
        <v>42</v>
      </c>
      <c r="B1419">
        <v>1.6832E-2</v>
      </c>
      <c r="C1419">
        <v>3239624</v>
      </c>
      <c r="D1419">
        <v>3447540</v>
      </c>
    </row>
    <row r="1420" spans="1:4" x14ac:dyDescent="0.45">
      <c r="A1420" s="1" t="s">
        <v>43</v>
      </c>
      <c r="B1420">
        <v>1.644E-2</v>
      </c>
      <c r="C1420">
        <v>3029025</v>
      </c>
      <c r="D1420">
        <v>3281396</v>
      </c>
    </row>
    <row r="1421" spans="1:4" x14ac:dyDescent="0.45">
      <c r="A1421" s="1" t="s">
        <v>44</v>
      </c>
      <c r="B1421">
        <v>1.6757000000000001E-2</v>
      </c>
      <c r="C1421">
        <v>3126685</v>
      </c>
      <c r="D1421">
        <v>3355105</v>
      </c>
    </row>
    <row r="1422" spans="1:4" x14ac:dyDescent="0.45">
      <c r="A1422" s="1" t="s">
        <v>45</v>
      </c>
      <c r="B1422">
        <v>1.9581000000000001E-2</v>
      </c>
      <c r="C1422">
        <v>3249132</v>
      </c>
      <c r="D1422">
        <v>4038641</v>
      </c>
    </row>
    <row r="1423" spans="1:4" x14ac:dyDescent="0.45">
      <c r="A1423" s="1" t="s">
        <v>46</v>
      </c>
      <c r="B1423">
        <v>2.5107999999999998E-2</v>
      </c>
      <c r="C1423">
        <v>4200895</v>
      </c>
      <c r="D1423">
        <v>7220180</v>
      </c>
    </row>
    <row r="1424" spans="1:4" x14ac:dyDescent="0.45">
      <c r="A1424" s="1" t="s">
        <v>47</v>
      </c>
      <c r="B1424">
        <v>1.7479999999999999E-2</v>
      </c>
      <c r="C1424">
        <v>3089667</v>
      </c>
      <c r="D1424">
        <v>3841894</v>
      </c>
    </row>
    <row r="1425" spans="1:4" x14ac:dyDescent="0.45">
      <c r="A1425" s="1" t="s">
        <v>48</v>
      </c>
      <c r="B1425">
        <v>1.6351999999999998E-2</v>
      </c>
      <c r="C1425">
        <v>2941376</v>
      </c>
      <c r="D1425">
        <v>3360222</v>
      </c>
    </row>
    <row r="1426" spans="1:4" x14ac:dyDescent="0.45">
      <c r="A1426" s="1" t="s">
        <v>49</v>
      </c>
      <c r="B1426">
        <v>3.4138000000000002E-2</v>
      </c>
      <c r="C1426">
        <v>5733528</v>
      </c>
      <c r="D1426">
        <v>11054831</v>
      </c>
    </row>
    <row r="1427" spans="1:4" x14ac:dyDescent="0.45">
      <c r="A1427" s="1" t="s">
        <v>50</v>
      </c>
      <c r="B1427">
        <v>1.7062999999999998E-2</v>
      </c>
      <c r="C1427">
        <v>3156768</v>
      </c>
      <c r="D1427">
        <v>3368669</v>
      </c>
    </row>
    <row r="1428" spans="1:4" x14ac:dyDescent="0.45">
      <c r="A1428" s="1" t="s">
        <v>51</v>
      </c>
      <c r="B1428">
        <v>2.7289999999999998E-2</v>
      </c>
      <c r="C1428">
        <v>4620669</v>
      </c>
      <c r="D1428">
        <v>7917257</v>
      </c>
    </row>
    <row r="1429" spans="1:4" x14ac:dyDescent="0.45">
      <c r="A1429" s="1" t="s">
        <v>52</v>
      </c>
      <c r="B1429">
        <v>1.6666E-2</v>
      </c>
      <c r="C1429">
        <v>3058831</v>
      </c>
      <c r="D1429">
        <v>3325580</v>
      </c>
    </row>
    <row r="1430" spans="1:4" x14ac:dyDescent="0.45">
      <c r="A1430" s="1" t="s">
        <v>53</v>
      </c>
      <c r="B1430">
        <v>1.6329E-2</v>
      </c>
      <c r="C1430">
        <v>2850361</v>
      </c>
      <c r="D1430">
        <v>3535685</v>
      </c>
    </row>
    <row r="1431" spans="1:4" x14ac:dyDescent="0.45">
      <c r="A1431" s="1" t="s">
        <v>54</v>
      </c>
      <c r="B1431">
        <v>3.1337999999999998E-2</v>
      </c>
      <c r="C1431">
        <v>5273450</v>
      </c>
      <c r="D1431">
        <v>10122531</v>
      </c>
    </row>
    <row r="1432" spans="1:4" x14ac:dyDescent="0.45">
      <c r="A1432" s="1" t="s">
        <v>55</v>
      </c>
      <c r="B1432">
        <v>2.1642000000000002E-2</v>
      </c>
      <c r="C1432">
        <v>3838876</v>
      </c>
      <c r="D1432">
        <v>5743509</v>
      </c>
    </row>
    <row r="1433" spans="1:4" x14ac:dyDescent="0.45">
      <c r="A1433" s="1" t="s">
        <v>56</v>
      </c>
      <c r="B1433">
        <v>4.5240000000000002E-2</v>
      </c>
      <c r="C1433">
        <v>7629952</v>
      </c>
      <c r="D1433">
        <v>16667287</v>
      </c>
    </row>
    <row r="1434" spans="1:4" x14ac:dyDescent="0.45">
      <c r="A1434" s="1" t="s">
        <v>66</v>
      </c>
      <c r="B1434">
        <f>AVERAGE(B1384:B1433)</f>
        <v>2.2206179999999999E-2</v>
      </c>
      <c r="C1434">
        <f>AVERAGE(C1384:C1433)</f>
        <v>3922619.16</v>
      </c>
      <c r="D1434">
        <f>AVERAGE(D1384:D1433)</f>
        <v>5883298.5800000001</v>
      </c>
    </row>
    <row r="1435" spans="1:4" x14ac:dyDescent="0.45">
      <c r="A1435" s="1" t="s">
        <v>67</v>
      </c>
      <c r="B1435">
        <f>_xlfn.VAR.S(B1384:B1433)</f>
        <v>6.6727130599591851E-5</v>
      </c>
      <c r="C1435">
        <f>_xlfn.VAR.S(C1384:C1433)</f>
        <v>1536944754156.3826</v>
      </c>
      <c r="D1435">
        <f>_xlfn.VAR.S(D1384:D1433)</f>
        <v>13385970146886.127</v>
      </c>
    </row>
    <row r="1436" spans="1:4" x14ac:dyDescent="0.45">
      <c r="A1436" s="1" t="s">
        <v>68</v>
      </c>
      <c r="B1436">
        <f>MAX(B1384:B1433)</f>
        <v>4.5240000000000002E-2</v>
      </c>
      <c r="C1436">
        <f>MAX(C1384:C1433)</f>
        <v>7629952</v>
      </c>
      <c r="D1436">
        <f>MAX(D1384:D1433)</f>
        <v>16667287</v>
      </c>
    </row>
    <row r="1437" spans="1:4" x14ac:dyDescent="0.45">
      <c r="A1437" s="1" t="s">
        <v>58</v>
      </c>
    </row>
    <row r="1438" spans="1:4" x14ac:dyDescent="0.45">
      <c r="A1438" s="1" t="s">
        <v>7</v>
      </c>
      <c r="B1438">
        <v>0.90180199999999999</v>
      </c>
      <c r="C1438">
        <v>146210082</v>
      </c>
      <c r="D1438">
        <v>370464611</v>
      </c>
    </row>
    <row r="1439" spans="1:4" x14ac:dyDescent="0.45">
      <c r="A1439" s="1" t="s">
        <v>8</v>
      </c>
      <c r="B1439">
        <v>0.19059000000000001</v>
      </c>
      <c r="C1439">
        <v>36006981</v>
      </c>
      <c r="D1439">
        <v>39427553</v>
      </c>
    </row>
    <row r="1440" spans="1:4" x14ac:dyDescent="0.45">
      <c r="A1440" s="1" t="s">
        <v>9</v>
      </c>
      <c r="B1440">
        <v>1.070479</v>
      </c>
      <c r="C1440">
        <v>168294709</v>
      </c>
      <c r="D1440">
        <v>440008897</v>
      </c>
    </row>
    <row r="1441" spans="1:4" x14ac:dyDescent="0.45">
      <c r="A1441" s="1" t="s">
        <v>10</v>
      </c>
      <c r="B1441">
        <v>0.20088</v>
      </c>
      <c r="C1441">
        <v>35849478</v>
      </c>
      <c r="D1441">
        <v>39826015</v>
      </c>
    </row>
    <row r="1442" spans="1:4" x14ac:dyDescent="0.45">
      <c r="A1442" s="1" t="s">
        <v>11</v>
      </c>
      <c r="B1442">
        <v>0.680867</v>
      </c>
      <c r="C1442">
        <v>109693520</v>
      </c>
      <c r="D1442">
        <v>266550371</v>
      </c>
    </row>
    <row r="1443" spans="1:4" x14ac:dyDescent="0.45">
      <c r="A1443" s="1" t="s">
        <v>12</v>
      </c>
      <c r="B1443">
        <v>0.25285000000000002</v>
      </c>
      <c r="C1443">
        <v>45005645</v>
      </c>
      <c r="D1443">
        <v>66340293</v>
      </c>
    </row>
    <row r="1444" spans="1:4" x14ac:dyDescent="0.45">
      <c r="A1444" s="1" t="s">
        <v>13</v>
      </c>
      <c r="B1444">
        <v>0.49835000000000002</v>
      </c>
      <c r="C1444">
        <v>82037563</v>
      </c>
      <c r="D1444">
        <v>180101660</v>
      </c>
    </row>
    <row r="1445" spans="1:4" x14ac:dyDescent="0.45">
      <c r="A1445" s="1" t="s">
        <v>14</v>
      </c>
      <c r="B1445">
        <v>0.53509799999999996</v>
      </c>
      <c r="C1445">
        <v>86806090</v>
      </c>
      <c r="D1445">
        <v>196190228</v>
      </c>
    </row>
    <row r="1446" spans="1:4" x14ac:dyDescent="0.45">
      <c r="A1446" s="1" t="s">
        <v>15</v>
      </c>
      <c r="B1446">
        <v>0.18884699999999999</v>
      </c>
      <c r="C1446">
        <v>33887948</v>
      </c>
      <c r="D1446">
        <v>39253823</v>
      </c>
    </row>
    <row r="1447" spans="1:4" x14ac:dyDescent="0.45">
      <c r="A1447" s="1" t="s">
        <v>16</v>
      </c>
      <c r="B1447">
        <v>0.64815299999999998</v>
      </c>
      <c r="C1447">
        <v>103493355</v>
      </c>
      <c r="D1447">
        <v>248635178</v>
      </c>
    </row>
    <row r="1448" spans="1:4" x14ac:dyDescent="0.45">
      <c r="A1448" s="1" t="s">
        <v>17</v>
      </c>
      <c r="B1448">
        <v>0.23896800000000001</v>
      </c>
      <c r="C1448">
        <v>43091138</v>
      </c>
      <c r="D1448">
        <v>58430113</v>
      </c>
    </row>
    <row r="1449" spans="1:4" x14ac:dyDescent="0.45">
      <c r="A1449" s="1" t="s">
        <v>18</v>
      </c>
      <c r="B1449">
        <v>1.0768709999999999</v>
      </c>
      <c r="C1449">
        <v>170311602</v>
      </c>
      <c r="D1449">
        <v>446148226</v>
      </c>
    </row>
    <row r="1450" spans="1:4" x14ac:dyDescent="0.45">
      <c r="A1450" s="1" t="s">
        <v>19</v>
      </c>
      <c r="B1450">
        <v>0.19181899999999999</v>
      </c>
      <c r="C1450">
        <v>35186530</v>
      </c>
      <c r="D1450">
        <v>39476645</v>
      </c>
    </row>
    <row r="1451" spans="1:4" x14ac:dyDescent="0.45">
      <c r="A1451" s="1" t="s">
        <v>20</v>
      </c>
      <c r="B1451">
        <v>0.19038099999999999</v>
      </c>
      <c r="C1451">
        <v>36010343</v>
      </c>
      <c r="D1451">
        <v>39387614</v>
      </c>
    </row>
    <row r="1452" spans="1:4" x14ac:dyDescent="0.45">
      <c r="A1452" s="1" t="s">
        <v>21</v>
      </c>
      <c r="B1452">
        <v>0.20014799999999999</v>
      </c>
      <c r="C1452">
        <v>38825483</v>
      </c>
      <c r="D1452">
        <v>41725313</v>
      </c>
    </row>
    <row r="1453" spans="1:4" x14ac:dyDescent="0.45">
      <c r="A1453" s="1" t="s">
        <v>22</v>
      </c>
      <c r="B1453">
        <v>0.92591999999999997</v>
      </c>
      <c r="C1453">
        <v>146809675</v>
      </c>
      <c r="D1453">
        <v>375482747</v>
      </c>
    </row>
    <row r="1454" spans="1:4" x14ac:dyDescent="0.45">
      <c r="A1454" s="1" t="s">
        <v>23</v>
      </c>
      <c r="B1454">
        <v>0.33050299999999999</v>
      </c>
      <c r="C1454">
        <v>55421738</v>
      </c>
      <c r="D1454">
        <v>103251079</v>
      </c>
    </row>
    <row r="1455" spans="1:4" x14ac:dyDescent="0.45">
      <c r="A1455" s="1" t="s">
        <v>24</v>
      </c>
      <c r="B1455">
        <v>0.18984999999999999</v>
      </c>
      <c r="C1455">
        <v>33707221</v>
      </c>
      <c r="D1455">
        <v>39711515</v>
      </c>
    </row>
    <row r="1456" spans="1:4" x14ac:dyDescent="0.45">
      <c r="A1456" s="1" t="s">
        <v>25</v>
      </c>
      <c r="B1456">
        <v>0.20683199999999999</v>
      </c>
      <c r="C1456">
        <v>37101244</v>
      </c>
      <c r="D1456">
        <v>46894104</v>
      </c>
    </row>
    <row r="1457" spans="1:4" x14ac:dyDescent="0.45">
      <c r="A1457" s="1" t="s">
        <v>26</v>
      </c>
      <c r="B1457">
        <v>0.189138</v>
      </c>
      <c r="C1457">
        <v>34643666</v>
      </c>
      <c r="D1457">
        <v>39226101</v>
      </c>
    </row>
    <row r="1458" spans="1:4" x14ac:dyDescent="0.45">
      <c r="A1458" s="1" t="s">
        <v>27</v>
      </c>
      <c r="B1458">
        <v>0.19453899999999999</v>
      </c>
      <c r="C1458">
        <v>35553371</v>
      </c>
      <c r="D1458">
        <v>40580372</v>
      </c>
    </row>
    <row r="1459" spans="1:4" x14ac:dyDescent="0.45">
      <c r="A1459" s="1" t="s">
        <v>28</v>
      </c>
      <c r="B1459">
        <v>0.195434</v>
      </c>
      <c r="C1459">
        <v>36230730</v>
      </c>
      <c r="D1459">
        <v>39719707</v>
      </c>
    </row>
    <row r="1460" spans="1:4" x14ac:dyDescent="0.45">
      <c r="A1460" s="1" t="s">
        <v>29</v>
      </c>
      <c r="B1460">
        <v>0.51774200000000004</v>
      </c>
      <c r="C1460">
        <v>85258159</v>
      </c>
      <c r="D1460">
        <v>187720486</v>
      </c>
    </row>
    <row r="1461" spans="1:4" x14ac:dyDescent="0.45">
      <c r="A1461" s="1" t="s">
        <v>30</v>
      </c>
      <c r="B1461">
        <v>0.57101599999999997</v>
      </c>
      <c r="C1461">
        <v>92515399</v>
      </c>
      <c r="D1461">
        <v>211102655</v>
      </c>
    </row>
    <row r="1462" spans="1:4" x14ac:dyDescent="0.45">
      <c r="A1462" s="1" t="s">
        <v>31</v>
      </c>
      <c r="B1462">
        <v>0.18969900000000001</v>
      </c>
      <c r="C1462">
        <v>34528529</v>
      </c>
      <c r="D1462">
        <v>41219185</v>
      </c>
    </row>
    <row r="1463" spans="1:4" x14ac:dyDescent="0.45">
      <c r="A1463" s="1" t="s">
        <v>32</v>
      </c>
      <c r="B1463">
        <v>0.42207299999999998</v>
      </c>
      <c r="C1463">
        <v>70120419</v>
      </c>
      <c r="D1463">
        <v>147045592</v>
      </c>
    </row>
    <row r="1464" spans="1:4" x14ac:dyDescent="0.45">
      <c r="A1464" s="1" t="s">
        <v>33</v>
      </c>
      <c r="B1464">
        <v>0.19689899999999999</v>
      </c>
      <c r="C1464">
        <v>34449783</v>
      </c>
      <c r="D1464">
        <v>40046287</v>
      </c>
    </row>
    <row r="1465" spans="1:4" x14ac:dyDescent="0.45">
      <c r="A1465" s="1" t="s">
        <v>34</v>
      </c>
      <c r="B1465">
        <v>0.72096300000000002</v>
      </c>
      <c r="C1465">
        <v>115551786</v>
      </c>
      <c r="D1465">
        <v>281979049</v>
      </c>
    </row>
    <row r="1466" spans="1:4" x14ac:dyDescent="0.45">
      <c r="A1466" s="1" t="s">
        <v>35</v>
      </c>
      <c r="B1466">
        <v>0.19564200000000001</v>
      </c>
      <c r="C1466">
        <v>37039901</v>
      </c>
      <c r="D1466">
        <v>41131861</v>
      </c>
    </row>
    <row r="1467" spans="1:4" x14ac:dyDescent="0.45">
      <c r="A1467" s="1" t="s">
        <v>36</v>
      </c>
      <c r="B1467">
        <v>0.43018699999999999</v>
      </c>
      <c r="C1467">
        <v>72261233</v>
      </c>
      <c r="D1467">
        <v>146288115</v>
      </c>
    </row>
    <row r="1468" spans="1:4" x14ac:dyDescent="0.45">
      <c r="A1468" s="1" t="s">
        <v>37</v>
      </c>
      <c r="B1468">
        <v>0.84570999999999996</v>
      </c>
      <c r="C1468">
        <v>135230089</v>
      </c>
      <c r="D1468">
        <v>339217507</v>
      </c>
    </row>
    <row r="1469" spans="1:4" x14ac:dyDescent="0.45">
      <c r="A1469" s="1" t="s">
        <v>38</v>
      </c>
      <c r="B1469">
        <v>0.22864399999999999</v>
      </c>
      <c r="C1469">
        <v>40940832</v>
      </c>
      <c r="D1469">
        <v>56378683</v>
      </c>
    </row>
    <row r="1470" spans="1:4" x14ac:dyDescent="0.45">
      <c r="A1470" s="1" t="s">
        <v>39</v>
      </c>
      <c r="B1470">
        <v>0.19226099999999999</v>
      </c>
      <c r="C1470">
        <v>35941106</v>
      </c>
      <c r="D1470">
        <v>39520944</v>
      </c>
    </row>
    <row r="1471" spans="1:4" x14ac:dyDescent="0.45">
      <c r="A1471" s="1" t="s">
        <v>40</v>
      </c>
      <c r="B1471">
        <v>0.194942</v>
      </c>
      <c r="C1471">
        <v>35331545</v>
      </c>
      <c r="D1471">
        <v>39263128</v>
      </c>
    </row>
    <row r="1472" spans="1:4" x14ac:dyDescent="0.45">
      <c r="A1472" s="1" t="s">
        <v>41</v>
      </c>
      <c r="B1472">
        <v>0.73427100000000001</v>
      </c>
      <c r="C1472">
        <v>117281675</v>
      </c>
      <c r="D1472">
        <v>286520501</v>
      </c>
    </row>
    <row r="1473" spans="1:4" x14ac:dyDescent="0.45">
      <c r="A1473" s="1" t="s">
        <v>42</v>
      </c>
      <c r="B1473">
        <v>0.18784999999999999</v>
      </c>
      <c r="C1473">
        <v>34276136</v>
      </c>
      <c r="D1473">
        <v>39926038</v>
      </c>
    </row>
    <row r="1474" spans="1:4" x14ac:dyDescent="0.45">
      <c r="A1474" s="1" t="s">
        <v>43</v>
      </c>
      <c r="B1474">
        <v>0.193026</v>
      </c>
      <c r="C1474">
        <v>35519632</v>
      </c>
      <c r="D1474">
        <v>39703064</v>
      </c>
    </row>
    <row r="1475" spans="1:4" x14ac:dyDescent="0.45">
      <c r="A1475" s="1" t="s">
        <v>44</v>
      </c>
      <c r="B1475">
        <v>0.20242399999999999</v>
      </c>
      <c r="C1475">
        <v>36468823</v>
      </c>
      <c r="D1475">
        <v>40010185</v>
      </c>
    </row>
    <row r="1476" spans="1:4" x14ac:dyDescent="0.45">
      <c r="A1476" s="1" t="s">
        <v>45</v>
      </c>
      <c r="B1476">
        <v>0.39413599999999999</v>
      </c>
      <c r="C1476">
        <v>65245719</v>
      </c>
      <c r="D1476">
        <v>134006139</v>
      </c>
    </row>
    <row r="1477" spans="1:4" x14ac:dyDescent="0.45">
      <c r="A1477" s="1" t="s">
        <v>46</v>
      </c>
      <c r="B1477">
        <v>0.188587</v>
      </c>
      <c r="C1477">
        <v>33037625</v>
      </c>
      <c r="D1477">
        <v>40748288</v>
      </c>
    </row>
    <row r="1478" spans="1:4" x14ac:dyDescent="0.45">
      <c r="A1478" s="1" t="s">
        <v>47</v>
      </c>
      <c r="B1478">
        <v>0.19357199999999999</v>
      </c>
      <c r="C1478">
        <v>35161242</v>
      </c>
      <c r="D1478">
        <v>39645475</v>
      </c>
    </row>
    <row r="1479" spans="1:4" x14ac:dyDescent="0.45">
      <c r="A1479" s="1" t="s">
        <v>48</v>
      </c>
      <c r="B1479">
        <v>0.19081799999999999</v>
      </c>
      <c r="C1479">
        <v>34757439</v>
      </c>
      <c r="D1479">
        <v>39666687</v>
      </c>
    </row>
    <row r="1480" spans="1:4" x14ac:dyDescent="0.45">
      <c r="A1480" s="1" t="s">
        <v>49</v>
      </c>
      <c r="B1480">
        <v>0.86643999999999999</v>
      </c>
      <c r="C1480">
        <v>137104459</v>
      </c>
      <c r="D1480">
        <v>346887716</v>
      </c>
    </row>
    <row r="1481" spans="1:4" x14ac:dyDescent="0.45">
      <c r="A1481" s="1" t="s">
        <v>50</v>
      </c>
      <c r="B1481">
        <v>0.19720299999999999</v>
      </c>
      <c r="C1481">
        <v>36651898</v>
      </c>
      <c r="D1481">
        <v>41457925</v>
      </c>
    </row>
    <row r="1482" spans="1:4" x14ac:dyDescent="0.45">
      <c r="A1482" s="1" t="s">
        <v>51</v>
      </c>
      <c r="B1482">
        <v>0.50292700000000001</v>
      </c>
      <c r="C1482">
        <v>83039992</v>
      </c>
      <c r="D1482">
        <v>184049882</v>
      </c>
    </row>
    <row r="1483" spans="1:4" x14ac:dyDescent="0.45">
      <c r="A1483" s="1" t="s">
        <v>52</v>
      </c>
      <c r="B1483">
        <v>0.243843</v>
      </c>
      <c r="C1483">
        <v>43843741</v>
      </c>
      <c r="D1483">
        <v>62281224</v>
      </c>
    </row>
    <row r="1484" spans="1:4" x14ac:dyDescent="0.45">
      <c r="A1484" s="1" t="s">
        <v>53</v>
      </c>
      <c r="B1484">
        <v>0.59960400000000003</v>
      </c>
      <c r="C1484">
        <v>96964656</v>
      </c>
      <c r="D1484">
        <v>227511706</v>
      </c>
    </row>
    <row r="1485" spans="1:4" x14ac:dyDescent="0.45">
      <c r="A1485" s="1" t="s">
        <v>54</v>
      </c>
      <c r="B1485">
        <v>0.63676900000000003</v>
      </c>
      <c r="C1485">
        <v>103371005</v>
      </c>
      <c r="D1485">
        <v>241576190</v>
      </c>
    </row>
    <row r="1486" spans="1:4" x14ac:dyDescent="0.45">
      <c r="A1486" s="1" t="s">
        <v>55</v>
      </c>
      <c r="B1486">
        <v>0.50470700000000002</v>
      </c>
      <c r="C1486">
        <v>82482583</v>
      </c>
      <c r="D1486">
        <v>181179069</v>
      </c>
    </row>
    <row r="1487" spans="1:4" x14ac:dyDescent="0.45">
      <c r="A1487" s="1" t="s">
        <v>56</v>
      </c>
      <c r="B1487">
        <v>0.62119999999999997</v>
      </c>
      <c r="C1487">
        <v>100520628</v>
      </c>
      <c r="D1487">
        <v>235390965</v>
      </c>
    </row>
    <row r="1488" spans="1:4" x14ac:dyDescent="0.45">
      <c r="A1488" s="1" t="s">
        <v>66</v>
      </c>
      <c r="B1488">
        <f>AVERAGE(B1438:B1487)</f>
        <v>0.40922947999999992</v>
      </c>
      <c r="C1488">
        <f>AVERAGE(C1438:C1487)</f>
        <v>68301482.920000002</v>
      </c>
      <c r="D1488">
        <f>AVERAGE(D1438:D1487)</f>
        <v>138966134.22</v>
      </c>
    </row>
    <row r="1489" spans="1:4" x14ac:dyDescent="0.45">
      <c r="A1489" s="1" t="s">
        <v>67</v>
      </c>
      <c r="B1489">
        <f>_xlfn.VAR.S(B1438:B1487)</f>
        <v>7.1941242553071119E-2</v>
      </c>
      <c r="C1489">
        <f>_xlfn.VAR.S(C1438:C1487)</f>
        <v>1670852166003221</v>
      </c>
      <c r="D1489">
        <f>_xlfn.VAR.S(D1438:D1487)</f>
        <v>1.5145336794367238E+16</v>
      </c>
    </row>
    <row r="1490" spans="1:4" x14ac:dyDescent="0.45">
      <c r="A1490" s="1" t="s">
        <v>68</v>
      </c>
      <c r="B1490">
        <f>MAX(B1438:B1487)</f>
        <v>1.0768709999999999</v>
      </c>
      <c r="C1490">
        <f>MAX(C1438:C1487)</f>
        <v>170311602</v>
      </c>
      <c r="D1490">
        <f>MAX(D1438:D1487)</f>
        <v>446148226</v>
      </c>
    </row>
    <row r="1491" spans="1:4" x14ac:dyDescent="0.45">
      <c r="A1491" s="1" t="s">
        <v>59</v>
      </c>
    </row>
    <row r="1492" spans="1:4" x14ac:dyDescent="0.45">
      <c r="A1492" s="1" t="s">
        <v>7</v>
      </c>
      <c r="B1492">
        <v>2.1739220000000001</v>
      </c>
      <c r="C1492">
        <v>393583693</v>
      </c>
      <c r="D1492">
        <v>454741475</v>
      </c>
    </row>
    <row r="1493" spans="1:4" x14ac:dyDescent="0.45">
      <c r="A1493" s="1" t="s">
        <v>8</v>
      </c>
      <c r="B1493">
        <v>2.1686899999999998</v>
      </c>
      <c r="C1493">
        <v>392759408</v>
      </c>
      <c r="D1493">
        <v>455943911</v>
      </c>
    </row>
    <row r="1494" spans="1:4" x14ac:dyDescent="0.45">
      <c r="A1494" s="1" t="s">
        <v>9</v>
      </c>
      <c r="B1494">
        <v>2.185683</v>
      </c>
      <c r="C1494">
        <v>387571778</v>
      </c>
      <c r="D1494">
        <v>465545106</v>
      </c>
    </row>
    <row r="1495" spans="1:4" x14ac:dyDescent="0.45">
      <c r="A1495" s="1" t="s">
        <v>10</v>
      </c>
      <c r="B1495">
        <v>26.271657999999999</v>
      </c>
      <c r="C1495">
        <v>4113277437</v>
      </c>
      <c r="D1495">
        <v>11609303647</v>
      </c>
    </row>
    <row r="1496" spans="1:4" x14ac:dyDescent="0.45">
      <c r="A1496" s="1" t="s">
        <v>11</v>
      </c>
      <c r="B1496">
        <v>2.172838</v>
      </c>
      <c r="C1496">
        <v>381507847</v>
      </c>
      <c r="D1496">
        <v>458167153</v>
      </c>
    </row>
    <row r="1497" spans="1:4" x14ac:dyDescent="0.45">
      <c r="A1497" s="1" t="s">
        <v>12</v>
      </c>
      <c r="B1497">
        <v>13.749551</v>
      </c>
      <c r="C1497">
        <v>2193272715</v>
      </c>
      <c r="D1497">
        <v>5799829372</v>
      </c>
    </row>
    <row r="1498" spans="1:4" x14ac:dyDescent="0.45">
      <c r="A1498" s="1" t="s">
        <v>13</v>
      </c>
      <c r="B1498">
        <v>17.423228000000002</v>
      </c>
      <c r="C1498">
        <v>2740127070</v>
      </c>
      <c r="D1498">
        <v>7514996732</v>
      </c>
    </row>
    <row r="1499" spans="1:4" x14ac:dyDescent="0.45">
      <c r="A1499" s="1" t="s">
        <v>14</v>
      </c>
      <c r="B1499">
        <v>5.4623720000000002</v>
      </c>
      <c r="C1499">
        <v>902528363</v>
      </c>
      <c r="D1499">
        <v>1961315407</v>
      </c>
    </row>
    <row r="1500" spans="1:4" x14ac:dyDescent="0.45">
      <c r="A1500" s="1" t="s">
        <v>15</v>
      </c>
      <c r="B1500">
        <v>2.1632980000000002</v>
      </c>
      <c r="C1500">
        <v>389039448</v>
      </c>
      <c r="D1500">
        <v>458506283</v>
      </c>
    </row>
    <row r="1501" spans="1:4" x14ac:dyDescent="0.45">
      <c r="A1501" s="1" t="s">
        <v>16</v>
      </c>
      <c r="B1501">
        <v>2.1844739999999998</v>
      </c>
      <c r="C1501">
        <v>392907522</v>
      </c>
      <c r="D1501">
        <v>463382444</v>
      </c>
    </row>
    <row r="1502" spans="1:4" x14ac:dyDescent="0.45">
      <c r="A1502" s="1" t="s">
        <v>17</v>
      </c>
      <c r="B1502">
        <v>2.1822629999999998</v>
      </c>
      <c r="C1502">
        <v>393523261</v>
      </c>
      <c r="D1502">
        <v>457512605</v>
      </c>
    </row>
    <row r="1503" spans="1:4" x14ac:dyDescent="0.45">
      <c r="A1503" s="1" t="s">
        <v>18</v>
      </c>
      <c r="B1503">
        <v>2.190731</v>
      </c>
      <c r="C1503">
        <v>396654305</v>
      </c>
      <c r="D1503">
        <v>456659548</v>
      </c>
    </row>
    <row r="1504" spans="1:4" x14ac:dyDescent="0.45">
      <c r="A1504" s="1" t="s">
        <v>19</v>
      </c>
      <c r="B1504">
        <v>5.330692</v>
      </c>
      <c r="C1504">
        <v>876239971</v>
      </c>
      <c r="D1504">
        <v>1897182326</v>
      </c>
    </row>
    <row r="1505" spans="1:4" x14ac:dyDescent="0.45">
      <c r="A1505" s="1" t="s">
        <v>20</v>
      </c>
      <c r="B1505">
        <v>2.3004820000000001</v>
      </c>
      <c r="C1505">
        <v>402049839</v>
      </c>
      <c r="D1505">
        <v>531146479</v>
      </c>
    </row>
    <row r="1506" spans="1:4" x14ac:dyDescent="0.45">
      <c r="A1506" s="1" t="s">
        <v>21</v>
      </c>
      <c r="B1506">
        <v>26.260217000000001</v>
      </c>
      <c r="C1506">
        <v>4119693081</v>
      </c>
      <c r="D1506">
        <v>11603809383</v>
      </c>
    </row>
    <row r="1507" spans="1:4" x14ac:dyDescent="0.45">
      <c r="A1507" s="1" t="s">
        <v>22</v>
      </c>
      <c r="B1507">
        <v>26.926421000000001</v>
      </c>
      <c r="C1507">
        <v>4153891654</v>
      </c>
      <c r="D1507">
        <v>11767003448</v>
      </c>
    </row>
    <row r="1508" spans="1:4" x14ac:dyDescent="0.45">
      <c r="A1508" s="1" t="s">
        <v>23</v>
      </c>
      <c r="B1508">
        <v>31.032813000000001</v>
      </c>
      <c r="C1508">
        <v>4847805837</v>
      </c>
      <c r="D1508">
        <v>13842757096</v>
      </c>
    </row>
    <row r="1509" spans="1:4" x14ac:dyDescent="0.45">
      <c r="A1509" s="1" t="s">
        <v>24</v>
      </c>
      <c r="B1509">
        <v>2.3526099999999999</v>
      </c>
      <c r="C1509">
        <v>420760638</v>
      </c>
      <c r="D1509">
        <v>532926938</v>
      </c>
    </row>
    <row r="1510" spans="1:4" x14ac:dyDescent="0.45">
      <c r="A1510" s="1" t="s">
        <v>25</v>
      </c>
      <c r="B1510">
        <v>2.2132550000000002</v>
      </c>
      <c r="C1510">
        <v>410870938</v>
      </c>
      <c r="D1510">
        <v>465989196</v>
      </c>
    </row>
    <row r="1511" spans="1:4" x14ac:dyDescent="0.45">
      <c r="A1511" s="1" t="s">
        <v>26</v>
      </c>
      <c r="B1511">
        <v>2.1940400000000002</v>
      </c>
      <c r="C1511">
        <v>387681944</v>
      </c>
      <c r="D1511">
        <v>483953541</v>
      </c>
    </row>
    <row r="1512" spans="1:4" x14ac:dyDescent="0.45">
      <c r="A1512" s="1" t="s">
        <v>27</v>
      </c>
      <c r="B1512">
        <v>2.215198</v>
      </c>
      <c r="C1512">
        <v>403914955</v>
      </c>
      <c r="D1512">
        <v>472684502</v>
      </c>
    </row>
    <row r="1513" spans="1:4" x14ac:dyDescent="0.45">
      <c r="A1513" s="1" t="s">
        <v>28</v>
      </c>
      <c r="B1513">
        <v>11.201736</v>
      </c>
      <c r="C1513">
        <v>1784621215</v>
      </c>
      <c r="D1513">
        <v>4607707846</v>
      </c>
    </row>
    <row r="1514" spans="1:4" x14ac:dyDescent="0.45">
      <c r="A1514" s="1" t="s">
        <v>29</v>
      </c>
      <c r="B1514">
        <v>2.1895440000000002</v>
      </c>
      <c r="C1514">
        <v>400452075</v>
      </c>
      <c r="D1514">
        <v>457688294</v>
      </c>
    </row>
    <row r="1515" spans="1:4" x14ac:dyDescent="0.45">
      <c r="A1515" s="1" t="s">
        <v>30</v>
      </c>
      <c r="B1515">
        <v>2.4755379999999998</v>
      </c>
      <c r="C1515">
        <v>436206643</v>
      </c>
      <c r="D1515">
        <v>598212221</v>
      </c>
    </row>
    <row r="1516" spans="1:4" x14ac:dyDescent="0.45">
      <c r="A1516" s="1" t="s">
        <v>31</v>
      </c>
      <c r="B1516">
        <v>2.2065809999999999</v>
      </c>
      <c r="C1516">
        <v>389515410</v>
      </c>
      <c r="D1516">
        <v>464731876</v>
      </c>
    </row>
    <row r="1517" spans="1:4" x14ac:dyDescent="0.45">
      <c r="A1517" s="1" t="s">
        <v>32</v>
      </c>
      <c r="B1517">
        <v>12.716828</v>
      </c>
      <c r="C1517">
        <v>2015629040</v>
      </c>
      <c r="D1517">
        <v>5330845800</v>
      </c>
    </row>
    <row r="1518" spans="1:4" x14ac:dyDescent="0.45">
      <c r="A1518" s="1" t="s">
        <v>33</v>
      </c>
      <c r="B1518">
        <v>29.421572000000001</v>
      </c>
      <c r="C1518">
        <v>4612123741</v>
      </c>
      <c r="D1518">
        <v>13111517875</v>
      </c>
    </row>
    <row r="1519" spans="1:4" x14ac:dyDescent="0.45">
      <c r="A1519" s="1" t="s">
        <v>34</v>
      </c>
      <c r="B1519">
        <v>22.092507000000001</v>
      </c>
      <c r="C1519">
        <v>3473929660</v>
      </c>
      <c r="D1519">
        <v>9690919541</v>
      </c>
    </row>
    <row r="1520" spans="1:4" x14ac:dyDescent="0.45">
      <c r="A1520" s="1" t="s">
        <v>35</v>
      </c>
      <c r="B1520">
        <v>32.005654</v>
      </c>
      <c r="C1520">
        <v>5004140981</v>
      </c>
      <c r="D1520">
        <v>14283927820</v>
      </c>
    </row>
    <row r="1521" spans="1:4" x14ac:dyDescent="0.45">
      <c r="A1521" s="1" t="s">
        <v>36</v>
      </c>
      <c r="B1521">
        <v>2.597181</v>
      </c>
      <c r="C1521">
        <v>465358988</v>
      </c>
      <c r="D1521">
        <v>647724924</v>
      </c>
    </row>
    <row r="1522" spans="1:4" x14ac:dyDescent="0.45">
      <c r="A1522" s="1" t="s">
        <v>37</v>
      </c>
      <c r="B1522">
        <v>2.1873170000000002</v>
      </c>
      <c r="C1522">
        <v>393664400</v>
      </c>
      <c r="D1522">
        <v>460197588</v>
      </c>
    </row>
    <row r="1523" spans="1:4" x14ac:dyDescent="0.45">
      <c r="A1523" s="1" t="s">
        <v>38</v>
      </c>
      <c r="B1523">
        <v>2.1702490000000001</v>
      </c>
      <c r="C1523">
        <v>386784663</v>
      </c>
      <c r="D1523">
        <v>465587237</v>
      </c>
    </row>
    <row r="1524" spans="1:4" x14ac:dyDescent="0.45">
      <c r="A1524" s="1" t="s">
        <v>39</v>
      </c>
      <c r="B1524">
        <v>10.395834000000001</v>
      </c>
      <c r="C1524">
        <v>1663077111</v>
      </c>
      <c r="D1524">
        <v>4225880089</v>
      </c>
    </row>
    <row r="1525" spans="1:4" x14ac:dyDescent="0.45">
      <c r="A1525" s="1" t="s">
        <v>40</v>
      </c>
      <c r="B1525">
        <v>2.1987549999999998</v>
      </c>
      <c r="C1525">
        <v>387160705</v>
      </c>
      <c r="D1525">
        <v>458811556</v>
      </c>
    </row>
    <row r="1526" spans="1:4" x14ac:dyDescent="0.45">
      <c r="A1526" s="1" t="s">
        <v>41</v>
      </c>
      <c r="B1526">
        <v>29.022601999999999</v>
      </c>
      <c r="C1526">
        <v>4506618829</v>
      </c>
      <c r="D1526">
        <v>12803998360</v>
      </c>
    </row>
    <row r="1527" spans="1:4" x14ac:dyDescent="0.45">
      <c r="A1527" s="1" t="s">
        <v>42</v>
      </c>
      <c r="B1527">
        <v>2.2646350000000002</v>
      </c>
      <c r="C1527">
        <v>415378278</v>
      </c>
      <c r="D1527">
        <v>475142710</v>
      </c>
    </row>
    <row r="1528" spans="1:4" x14ac:dyDescent="0.45">
      <c r="A1528" s="1" t="s">
        <v>43</v>
      </c>
      <c r="B1528">
        <v>17.337356</v>
      </c>
      <c r="C1528">
        <v>2714160907</v>
      </c>
      <c r="D1528">
        <v>7438555641</v>
      </c>
    </row>
    <row r="1529" spans="1:4" x14ac:dyDescent="0.45">
      <c r="A1529" s="1" t="s">
        <v>44</v>
      </c>
      <c r="B1529">
        <v>2.1963249999999999</v>
      </c>
      <c r="C1529">
        <v>390753606</v>
      </c>
      <c r="D1529">
        <v>463401472</v>
      </c>
    </row>
    <row r="1530" spans="1:4" x14ac:dyDescent="0.45">
      <c r="A1530" s="1" t="s">
        <v>45</v>
      </c>
      <c r="B1530">
        <v>2.211052</v>
      </c>
      <c r="C1530">
        <v>391050833</v>
      </c>
      <c r="D1530">
        <v>472039193</v>
      </c>
    </row>
    <row r="1531" spans="1:4" x14ac:dyDescent="0.45">
      <c r="A1531" s="1" t="s">
        <v>46</v>
      </c>
      <c r="B1531">
        <v>27.730813000000001</v>
      </c>
      <c r="C1531">
        <v>4329218364</v>
      </c>
      <c r="D1531">
        <v>12191493426</v>
      </c>
    </row>
    <row r="1532" spans="1:4" x14ac:dyDescent="0.45">
      <c r="A1532" s="1" t="s">
        <v>47</v>
      </c>
      <c r="B1532">
        <v>2.2262400000000002</v>
      </c>
      <c r="C1532">
        <v>397507658</v>
      </c>
      <c r="D1532">
        <v>468984635</v>
      </c>
    </row>
    <row r="1533" spans="1:4" x14ac:dyDescent="0.45">
      <c r="A1533" s="1" t="s">
        <v>48</v>
      </c>
      <c r="B1533">
        <v>10.411894</v>
      </c>
      <c r="C1533">
        <v>1657457963</v>
      </c>
      <c r="D1533">
        <v>4210497398</v>
      </c>
    </row>
    <row r="1534" spans="1:4" x14ac:dyDescent="0.45">
      <c r="A1534" s="1" t="s">
        <v>49</v>
      </c>
      <c r="B1534">
        <v>3.1765669999999999</v>
      </c>
      <c r="C1534">
        <v>540200215</v>
      </c>
      <c r="D1534">
        <v>908437936</v>
      </c>
    </row>
    <row r="1535" spans="1:4" x14ac:dyDescent="0.45">
      <c r="A1535" s="1" t="s">
        <v>50</v>
      </c>
      <c r="B1535">
        <v>2.1966649999999999</v>
      </c>
      <c r="C1535">
        <v>388767802</v>
      </c>
      <c r="D1535">
        <v>460013463</v>
      </c>
    </row>
    <row r="1536" spans="1:4" x14ac:dyDescent="0.45">
      <c r="A1536" s="1" t="s">
        <v>51</v>
      </c>
      <c r="B1536">
        <v>2.2098249999999999</v>
      </c>
      <c r="C1536">
        <v>395717662</v>
      </c>
      <c r="D1536">
        <v>460915188</v>
      </c>
    </row>
    <row r="1537" spans="1:4" x14ac:dyDescent="0.45">
      <c r="A1537" s="1" t="s">
        <v>52</v>
      </c>
      <c r="B1537">
        <v>2.194267</v>
      </c>
      <c r="C1537">
        <v>396939154</v>
      </c>
      <c r="D1537">
        <v>460254343</v>
      </c>
    </row>
    <row r="1538" spans="1:4" x14ac:dyDescent="0.45">
      <c r="A1538" s="1" t="s">
        <v>53</v>
      </c>
      <c r="B1538">
        <v>2.2186309999999998</v>
      </c>
      <c r="C1538">
        <v>403113242</v>
      </c>
      <c r="D1538">
        <v>471318377</v>
      </c>
    </row>
    <row r="1539" spans="1:4" x14ac:dyDescent="0.45">
      <c r="A1539" s="1" t="s">
        <v>54</v>
      </c>
      <c r="B1539">
        <v>12.488688</v>
      </c>
      <c r="C1539">
        <v>1961203807</v>
      </c>
      <c r="D1539">
        <v>5189582108</v>
      </c>
    </row>
    <row r="1540" spans="1:4" x14ac:dyDescent="0.45">
      <c r="A1540" s="1" t="s">
        <v>55</v>
      </c>
      <c r="B1540">
        <v>9.1181739999999998</v>
      </c>
      <c r="C1540">
        <v>1437835070</v>
      </c>
      <c r="D1540">
        <v>3635298227</v>
      </c>
    </row>
    <row r="1541" spans="1:4" x14ac:dyDescent="0.45">
      <c r="A1541" s="1" t="s">
        <v>56</v>
      </c>
      <c r="B1541">
        <v>2.2040069999999998</v>
      </c>
      <c r="C1541">
        <v>403177033</v>
      </c>
      <c r="D1541">
        <v>455979346</v>
      </c>
    </row>
    <row r="1542" spans="1:4" x14ac:dyDescent="0.45">
      <c r="A1542" s="1" t="s">
        <v>66</v>
      </c>
      <c r="B1542">
        <f>AVERAGE(B1492:B1541)</f>
        <v>8.8844294600000016</v>
      </c>
      <c r="C1542">
        <f>AVERAGE(C1492:C1541)</f>
        <v>1424828535.1800001</v>
      </c>
      <c r="D1542">
        <f>AVERAGE(D1492:D1541)</f>
        <v>3550460421.6399999</v>
      </c>
    </row>
    <row r="1543" spans="1:4" x14ac:dyDescent="0.45">
      <c r="A1543" s="1" t="s">
        <v>67</v>
      </c>
      <c r="B1543">
        <f>_xlfn.VAR.S(B1492:B1541)</f>
        <v>99.168944983478411</v>
      </c>
      <c r="C1543">
        <f>_xlfn.VAR.S(C1492:C1541)</f>
        <v>2.3561381810394849E+18</v>
      </c>
      <c r="D1543">
        <f>_xlfn.VAR.S(D1492:D1541)</f>
        <v>2.1172789056928571E+19</v>
      </c>
    </row>
    <row r="1544" spans="1:4" x14ac:dyDescent="0.45">
      <c r="A1544" s="1" t="s">
        <v>68</v>
      </c>
      <c r="B1544">
        <f>MAX(B1492:B1541)</f>
        <v>32.005654</v>
      </c>
      <c r="C1544">
        <f>MAX(C1492:C1541)</f>
        <v>5004140981</v>
      </c>
      <c r="D1544">
        <f>MAX(D1492:D1541)</f>
        <v>14283927820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C67086-ABE4-4E43-B346-053D8D0DE6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out_final</vt:lpstr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Prodromos Avramidis</dc:creator>
  <cp:lastModifiedBy>Prodromos.A</cp:lastModifiedBy>
  <dcterms:created xsi:type="dcterms:W3CDTF">2015-06-05T18:19:34Z</dcterms:created>
  <dcterms:modified xsi:type="dcterms:W3CDTF">2022-06-25T19:47:28Z</dcterms:modified>
</cp:coreProperties>
</file>